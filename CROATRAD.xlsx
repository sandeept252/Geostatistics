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illi\Documents\PyPrac\SnDAinGeo_John_Davis_Data_Files\Chapter 2\"/>
    </mc:Choice>
  </mc:AlternateContent>
  <bookViews>
    <workbookView xWindow="0" yWindow="0" windowWidth="11085" windowHeight="7755" activeTab="5"/>
  </bookViews>
  <sheets>
    <sheet name="hist-bin1" sheetId="5" r:id="rId1"/>
    <sheet name="hist-bin2" sheetId="6" r:id="rId2"/>
    <sheet name="hist-bin3" sheetId="7" r:id="rId3"/>
    <sheet name="hist_bin_true_10" sheetId="10" r:id="rId4"/>
    <sheet name="CROATRAD" sheetId="1" r:id="rId5"/>
    <sheet name="bin_calc" sheetId="8" r:id="rId6"/>
    <sheet name="bin_calc_true_width" sheetId="9" r:id="rId7"/>
  </sheets>
  <calcPr calcId="152511"/>
</workbook>
</file>

<file path=xl/calcChain.xml><?xml version="1.0" encoding="utf-8"?>
<calcChain xmlns="http://schemas.openxmlformats.org/spreadsheetml/2006/main">
  <c r="G11" i="9" l="1"/>
  <c r="G10" i="9"/>
  <c r="G9" i="9"/>
  <c r="G8" i="9"/>
  <c r="G7" i="9"/>
  <c r="G6" i="9"/>
  <c r="G5" i="9"/>
  <c r="G4" i="9"/>
  <c r="G3" i="9"/>
  <c r="G2" i="9"/>
  <c r="C2" i="9"/>
  <c r="B2" i="9"/>
  <c r="E2" i="9" s="1"/>
  <c r="G11" i="8"/>
  <c r="G10" i="8"/>
  <c r="G9" i="8"/>
  <c r="G8" i="8"/>
  <c r="G7" i="8"/>
  <c r="G6" i="8"/>
  <c r="G5" i="8"/>
  <c r="G4" i="8"/>
  <c r="G3" i="8"/>
  <c r="G2" i="8"/>
  <c r="E2" i="8"/>
  <c r="C2" i="8"/>
  <c r="B2" i="8"/>
  <c r="B10" i="7" l="1"/>
  <c r="C3" i="5"/>
  <c r="C4" i="5"/>
  <c r="C2" i="5"/>
  <c r="B5" i="5"/>
  <c r="G127" i="1"/>
</calcChain>
</file>

<file path=xl/sharedStrings.xml><?xml version="1.0" encoding="utf-8"?>
<sst xmlns="http://schemas.openxmlformats.org/spreadsheetml/2006/main" count="67" uniqueCount="42">
  <si>
    <t>40K</t>
  </si>
  <si>
    <t>224Ra</t>
  </si>
  <si>
    <t>228Ra</t>
  </si>
  <si>
    <t>236U</t>
  </si>
  <si>
    <t>137Cs</t>
  </si>
  <si>
    <t>Natural</t>
  </si>
  <si>
    <t>Total</t>
  </si>
  <si>
    <t>bin1</t>
  </si>
  <si>
    <t>bin2</t>
  </si>
  <si>
    <t>More</t>
  </si>
  <si>
    <t>Frequency</t>
  </si>
  <si>
    <t>Cumulative %</t>
  </si>
  <si>
    <t>bin3</t>
  </si>
  <si>
    <t>Frequency%</t>
  </si>
  <si>
    <t>MAX</t>
  </si>
  <si>
    <t>MIN</t>
  </si>
  <si>
    <t>nbin</t>
  </si>
  <si>
    <t>bin_width</t>
  </si>
  <si>
    <t>bin_range</t>
  </si>
  <si>
    <t>30-50</t>
  </si>
  <si>
    <t>50-70</t>
  </si>
  <si>
    <t>70-90</t>
  </si>
  <si>
    <t>90-110</t>
  </si>
  <si>
    <t>110-130</t>
  </si>
  <si>
    <t>130-150</t>
  </si>
  <si>
    <t>150-170</t>
  </si>
  <si>
    <t>170-190</t>
  </si>
  <si>
    <t>190-210</t>
  </si>
  <si>
    <t>210-230</t>
  </si>
  <si>
    <t>frequency</t>
  </si>
  <si>
    <t>For simplicity, 20</t>
  </si>
  <si>
    <t>36-54.22</t>
  </si>
  <si>
    <t>54.22-72.44</t>
  </si>
  <si>
    <t>72.44-90.66</t>
  </si>
  <si>
    <t>90.66-108.88</t>
  </si>
  <si>
    <t>108.88-127.1</t>
  </si>
  <si>
    <t>127.1-145.32</t>
  </si>
  <si>
    <t>145.32-163.54</t>
  </si>
  <si>
    <t>163.54-181.76</t>
  </si>
  <si>
    <t>181.76-199.98</t>
  </si>
  <si>
    <t>199.98-218.2</t>
  </si>
  <si>
    <t>bin_true_10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</si>
</sst>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10" fontId="0" fillId="0" borderId="0" xfId="0" applyNumberFormat="1" applyFill="1" applyBorder="1" applyAlignment="1"/>
    <xf numFmtId="10" fontId="0" fillId="0" borderId="10" xfId="0" applyNumberFormat="1" applyFill="1" applyBorder="1" applyAlignment="1"/>
    <xf numFmtId="0" fontId="0" fillId="0" borderId="10" xfId="0" applyNumberForma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'hist-bin1'!$E$2:$E$4</c:f>
              <c:numCache>
                <c:formatCode>General</c:formatCode>
                <c:ptCount val="3"/>
                <c:pt idx="0">
                  <c:v>160</c:v>
                </c:pt>
                <c:pt idx="1">
                  <c:v>80</c:v>
                </c:pt>
                <c:pt idx="2">
                  <c:v>240</c:v>
                </c:pt>
              </c:numCache>
            </c:numRef>
          </c:cat>
          <c:val>
            <c:numRef>
              <c:f>'hist-bin1'!$F$2:$F$4</c:f>
              <c:numCache>
                <c:formatCode>General</c:formatCode>
                <c:ptCount val="3"/>
                <c:pt idx="0">
                  <c:v>86</c:v>
                </c:pt>
                <c:pt idx="1">
                  <c:v>34</c:v>
                </c:pt>
                <c:pt idx="2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24817872"/>
        <c:axId val="-1724817328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numRef>
              <c:f>'hist-bin1'!$E$2:$E$4</c:f>
              <c:numCache>
                <c:formatCode>General</c:formatCode>
                <c:ptCount val="3"/>
                <c:pt idx="0">
                  <c:v>160</c:v>
                </c:pt>
                <c:pt idx="1">
                  <c:v>80</c:v>
                </c:pt>
                <c:pt idx="2">
                  <c:v>240</c:v>
                </c:pt>
              </c:numCache>
            </c:numRef>
          </c:cat>
          <c:val>
            <c:numRef>
              <c:f>'hist-bin1'!$G$2:$G$4</c:f>
              <c:numCache>
                <c:formatCode>0.00%</c:formatCode>
                <c:ptCount val="3"/>
                <c:pt idx="0">
                  <c:v>0.68799999999999994</c:v>
                </c:pt>
                <c:pt idx="1">
                  <c:v>0.96</c:v>
                </c:pt>
                <c:pt idx="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24804816"/>
        <c:axId val="-1724810256"/>
      </c:lineChart>
      <c:catAx>
        <c:axId val="-1724817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bin1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724817328"/>
        <c:crosses val="autoZero"/>
        <c:auto val="1"/>
        <c:lblAlgn val="ctr"/>
        <c:lblOffset val="100"/>
        <c:noMultiLvlLbl val="0"/>
      </c:catAx>
      <c:valAx>
        <c:axId val="-1724817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724817872"/>
        <c:crosses val="autoZero"/>
        <c:crossBetween val="between"/>
      </c:valAx>
      <c:valAx>
        <c:axId val="-172481025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-1724804816"/>
        <c:crosses val="max"/>
        <c:crossBetween val="between"/>
      </c:valAx>
      <c:catAx>
        <c:axId val="-1724804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2481025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'hist-bin1'!$C$1</c:f>
              <c:strCache>
                <c:ptCount val="1"/>
                <c:pt idx="0">
                  <c:v>Frequency%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'hist-bin1'!$A$2:$A$5</c:f>
              <c:numCache>
                <c:formatCode>General</c:formatCode>
                <c:ptCount val="4"/>
                <c:pt idx="0">
                  <c:v>80</c:v>
                </c:pt>
                <c:pt idx="1">
                  <c:v>160</c:v>
                </c:pt>
                <c:pt idx="2">
                  <c:v>240</c:v>
                </c:pt>
              </c:numCache>
            </c:numRef>
          </c:cat>
          <c:val>
            <c:numRef>
              <c:f>'hist-bin1'!$C$2:$C$5</c:f>
              <c:numCache>
                <c:formatCode>General</c:formatCode>
                <c:ptCount val="4"/>
                <c:pt idx="0">
                  <c:v>27.200000000000003</c:v>
                </c:pt>
                <c:pt idx="1">
                  <c:v>68.8</c:v>
                </c:pt>
                <c:pt idx="2">
                  <c:v>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-1724813520"/>
        <c:axId val="-1724818416"/>
      </c:barChart>
      <c:catAx>
        <c:axId val="-172481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r>
                  <a:rPr lang="en-US" baseline="0"/>
                  <a:t> cy/hr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4818416"/>
        <c:crosses val="autoZero"/>
        <c:auto val="1"/>
        <c:lblAlgn val="ctr"/>
        <c:lblOffset val="100"/>
        <c:noMultiLvlLbl val="0"/>
      </c:catAx>
      <c:valAx>
        <c:axId val="-1724818416"/>
        <c:scaling>
          <c:orientation val="minMax"/>
        </c:scaling>
        <c:delete val="1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-172481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'hist-bin2'!$D$2:$D$7</c:f>
              <c:strCache>
                <c:ptCount val="6"/>
                <c:pt idx="0">
                  <c:v>132</c:v>
                </c:pt>
                <c:pt idx="1">
                  <c:v>88</c:v>
                </c:pt>
                <c:pt idx="2">
                  <c:v>176</c:v>
                </c:pt>
                <c:pt idx="3">
                  <c:v>44</c:v>
                </c:pt>
                <c:pt idx="4">
                  <c:v>220</c:v>
                </c:pt>
                <c:pt idx="5">
                  <c:v>More</c:v>
                </c:pt>
              </c:strCache>
            </c:strRef>
          </c:cat>
          <c:val>
            <c:numRef>
              <c:f>'hist-bin2'!$E$2:$E$7</c:f>
              <c:numCache>
                <c:formatCode>General</c:formatCode>
                <c:ptCount val="6"/>
                <c:pt idx="0">
                  <c:v>68</c:v>
                </c:pt>
                <c:pt idx="1">
                  <c:v>37</c:v>
                </c:pt>
                <c:pt idx="2">
                  <c:v>11</c:v>
                </c:pt>
                <c:pt idx="3">
                  <c:v>8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24816240"/>
        <c:axId val="-1724815152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'hist-bin2'!$D$2:$D$7</c:f>
              <c:strCache>
                <c:ptCount val="6"/>
                <c:pt idx="0">
                  <c:v>132</c:v>
                </c:pt>
                <c:pt idx="1">
                  <c:v>88</c:v>
                </c:pt>
                <c:pt idx="2">
                  <c:v>176</c:v>
                </c:pt>
                <c:pt idx="3">
                  <c:v>44</c:v>
                </c:pt>
                <c:pt idx="4">
                  <c:v>220</c:v>
                </c:pt>
                <c:pt idx="5">
                  <c:v>More</c:v>
                </c:pt>
              </c:strCache>
            </c:strRef>
          </c:cat>
          <c:val>
            <c:numRef>
              <c:f>'hist-bin2'!$F$2:$F$7</c:f>
              <c:numCache>
                <c:formatCode>0.00%</c:formatCode>
                <c:ptCount val="6"/>
                <c:pt idx="0">
                  <c:v>0.54400000000000004</c:v>
                </c:pt>
                <c:pt idx="1">
                  <c:v>0.84</c:v>
                </c:pt>
                <c:pt idx="2">
                  <c:v>0.92800000000000005</c:v>
                </c:pt>
                <c:pt idx="3">
                  <c:v>0.99199999999999999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24814064"/>
        <c:axId val="-1724814608"/>
      </c:lineChart>
      <c:catAx>
        <c:axId val="-172481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bin2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724815152"/>
        <c:crosses val="autoZero"/>
        <c:auto val="1"/>
        <c:lblAlgn val="ctr"/>
        <c:lblOffset val="100"/>
        <c:noMultiLvlLbl val="0"/>
      </c:catAx>
      <c:valAx>
        <c:axId val="-17248151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724816240"/>
        <c:crosses val="autoZero"/>
        <c:crossBetween val="between"/>
      </c:valAx>
      <c:valAx>
        <c:axId val="-172481460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-1724814064"/>
        <c:crosses val="max"/>
        <c:crossBetween val="between"/>
      </c:valAx>
      <c:catAx>
        <c:axId val="-1724814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2481460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'hist-bin2'!$A$2:$A$7</c:f>
              <c:strCache>
                <c:ptCount val="6"/>
                <c:pt idx="0">
                  <c:v>44</c:v>
                </c:pt>
                <c:pt idx="1">
                  <c:v>88</c:v>
                </c:pt>
                <c:pt idx="2">
                  <c:v>132</c:v>
                </c:pt>
                <c:pt idx="3">
                  <c:v>176</c:v>
                </c:pt>
                <c:pt idx="4">
                  <c:v>220</c:v>
                </c:pt>
                <c:pt idx="5">
                  <c:v>More</c:v>
                </c:pt>
              </c:strCache>
            </c:strRef>
          </c:cat>
          <c:val>
            <c:numRef>
              <c:f>'hist-bin2'!$B$2:$B$7</c:f>
              <c:numCache>
                <c:formatCode>General</c:formatCode>
                <c:ptCount val="6"/>
                <c:pt idx="0">
                  <c:v>8</c:v>
                </c:pt>
                <c:pt idx="1">
                  <c:v>37</c:v>
                </c:pt>
                <c:pt idx="2">
                  <c:v>68</c:v>
                </c:pt>
                <c:pt idx="3">
                  <c:v>11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24812976"/>
        <c:axId val="-172481243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'hist-bin2'!$A$2:$A$7</c:f>
              <c:strCache>
                <c:ptCount val="6"/>
                <c:pt idx="0">
                  <c:v>44</c:v>
                </c:pt>
                <c:pt idx="1">
                  <c:v>88</c:v>
                </c:pt>
                <c:pt idx="2">
                  <c:v>132</c:v>
                </c:pt>
                <c:pt idx="3">
                  <c:v>176</c:v>
                </c:pt>
                <c:pt idx="4">
                  <c:v>220</c:v>
                </c:pt>
                <c:pt idx="5">
                  <c:v>More</c:v>
                </c:pt>
              </c:strCache>
            </c:strRef>
          </c:cat>
          <c:val>
            <c:numRef>
              <c:f>'hist-bin2'!$C$2:$C$7</c:f>
              <c:numCache>
                <c:formatCode>0.00%</c:formatCode>
                <c:ptCount val="6"/>
                <c:pt idx="0">
                  <c:v>6.4000000000000001E-2</c:v>
                </c:pt>
                <c:pt idx="1">
                  <c:v>0.36</c:v>
                </c:pt>
                <c:pt idx="2">
                  <c:v>0.90400000000000003</c:v>
                </c:pt>
                <c:pt idx="3">
                  <c:v>0.99199999999999999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24811888"/>
        <c:axId val="-1724804272"/>
      </c:lineChart>
      <c:catAx>
        <c:axId val="-172481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4812432"/>
        <c:crosses val="autoZero"/>
        <c:auto val="1"/>
        <c:lblAlgn val="ctr"/>
        <c:lblOffset val="100"/>
        <c:noMultiLvlLbl val="0"/>
      </c:catAx>
      <c:valAx>
        <c:axId val="-17248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4812976"/>
        <c:crosses val="autoZero"/>
        <c:crossBetween val="between"/>
      </c:valAx>
      <c:valAx>
        <c:axId val="-172480427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4811888"/>
        <c:crosses val="max"/>
        <c:crossBetween val="between"/>
      </c:valAx>
      <c:catAx>
        <c:axId val="-1724811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24804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'hist-bin3'!$A$2:$A$9</c:f>
              <c:numCache>
                <c:formatCode>General</c:formatCode>
                <c:ptCount val="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</c:numCache>
            </c:numRef>
          </c:cat>
          <c:val>
            <c:numRef>
              <c:f>'hist-bin3'!$B$2:$B$9</c:f>
              <c:numCache>
                <c:formatCode>General</c:formatCode>
                <c:ptCount val="8"/>
                <c:pt idx="0">
                  <c:v>13</c:v>
                </c:pt>
                <c:pt idx="1">
                  <c:v>17</c:v>
                </c:pt>
                <c:pt idx="2">
                  <c:v>43</c:v>
                </c:pt>
                <c:pt idx="3">
                  <c:v>35</c:v>
                </c:pt>
                <c:pt idx="4">
                  <c:v>9</c:v>
                </c:pt>
                <c:pt idx="5">
                  <c:v>7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24810800"/>
        <c:axId val="-1724809168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numRef>
              <c:f>'hist-bin3'!$A$2:$A$9</c:f>
              <c:numCache>
                <c:formatCode>General</c:formatCode>
                <c:ptCount val="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</c:numCache>
            </c:numRef>
          </c:cat>
          <c:val>
            <c:numRef>
              <c:f>'hist-bin3'!$D$2:$D$9</c:f>
              <c:numCache>
                <c:formatCode>0.00%</c:formatCode>
                <c:ptCount val="8"/>
                <c:pt idx="0">
                  <c:v>0.104</c:v>
                </c:pt>
                <c:pt idx="1">
                  <c:v>0.24</c:v>
                </c:pt>
                <c:pt idx="2">
                  <c:v>0.58399999999999996</c:v>
                </c:pt>
                <c:pt idx="3">
                  <c:v>0.86399999999999999</c:v>
                </c:pt>
                <c:pt idx="4">
                  <c:v>0.93600000000000005</c:v>
                </c:pt>
                <c:pt idx="5">
                  <c:v>0.99199999999999999</c:v>
                </c:pt>
                <c:pt idx="6">
                  <c:v>0.99199999999999999</c:v>
                </c:pt>
                <c:pt idx="7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24807536"/>
        <c:axId val="-1724808080"/>
      </c:lineChart>
      <c:catAx>
        <c:axId val="-1724810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bin3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724809168"/>
        <c:crosses val="autoZero"/>
        <c:auto val="1"/>
        <c:lblAlgn val="ctr"/>
        <c:lblOffset val="100"/>
        <c:noMultiLvlLbl val="0"/>
      </c:catAx>
      <c:valAx>
        <c:axId val="-1724809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724810800"/>
        <c:crosses val="autoZero"/>
        <c:crossBetween val="between"/>
      </c:valAx>
      <c:valAx>
        <c:axId val="-172480808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-1724807536"/>
        <c:crosses val="max"/>
        <c:crossBetween val="between"/>
      </c:valAx>
      <c:catAx>
        <c:axId val="-1724807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2480808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hist_bin_true_10!$A$2:$A$11</c:f>
              <c:numCache>
                <c:formatCode>General</c:formatCode>
                <c:ptCount val="10"/>
                <c:pt idx="0">
                  <c:v>54.22</c:v>
                </c:pt>
                <c:pt idx="1">
                  <c:v>72.44</c:v>
                </c:pt>
                <c:pt idx="2">
                  <c:v>90.66</c:v>
                </c:pt>
                <c:pt idx="3">
                  <c:v>108.88</c:v>
                </c:pt>
                <c:pt idx="4">
                  <c:v>127.1</c:v>
                </c:pt>
                <c:pt idx="5">
                  <c:v>145.32</c:v>
                </c:pt>
                <c:pt idx="6">
                  <c:v>163.54</c:v>
                </c:pt>
                <c:pt idx="7">
                  <c:v>181.76</c:v>
                </c:pt>
                <c:pt idx="8">
                  <c:v>199.98</c:v>
                </c:pt>
                <c:pt idx="9">
                  <c:v>218.2</c:v>
                </c:pt>
              </c:numCache>
            </c:numRef>
          </c:cat>
          <c:val>
            <c:numRef>
              <c:f>hist_bin_true_10!$B$2:$B$11</c:f>
              <c:numCache>
                <c:formatCode>General</c:formatCode>
                <c:ptCount val="10"/>
                <c:pt idx="0">
                  <c:v>20</c:v>
                </c:pt>
                <c:pt idx="1">
                  <c:v>9</c:v>
                </c:pt>
                <c:pt idx="2">
                  <c:v>22</c:v>
                </c:pt>
                <c:pt idx="3">
                  <c:v>40</c:v>
                </c:pt>
                <c:pt idx="4">
                  <c:v>19</c:v>
                </c:pt>
                <c:pt idx="5">
                  <c:v>6</c:v>
                </c:pt>
                <c:pt idx="6">
                  <c:v>5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43110512"/>
        <c:axId val="-43119760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numRef>
              <c:f>hist_bin_true_10!$A$2:$A$11</c:f>
              <c:numCache>
                <c:formatCode>General</c:formatCode>
                <c:ptCount val="10"/>
                <c:pt idx="0">
                  <c:v>54.22</c:v>
                </c:pt>
                <c:pt idx="1">
                  <c:v>72.44</c:v>
                </c:pt>
                <c:pt idx="2">
                  <c:v>90.66</c:v>
                </c:pt>
                <c:pt idx="3">
                  <c:v>108.88</c:v>
                </c:pt>
                <c:pt idx="4">
                  <c:v>127.1</c:v>
                </c:pt>
                <c:pt idx="5">
                  <c:v>145.32</c:v>
                </c:pt>
                <c:pt idx="6">
                  <c:v>163.54</c:v>
                </c:pt>
                <c:pt idx="7">
                  <c:v>181.76</c:v>
                </c:pt>
                <c:pt idx="8">
                  <c:v>199.98</c:v>
                </c:pt>
                <c:pt idx="9">
                  <c:v>218.2</c:v>
                </c:pt>
              </c:numCache>
            </c:numRef>
          </c:cat>
          <c:val>
            <c:numRef>
              <c:f>hist_bin_true_10!$C$2:$C$11</c:f>
              <c:numCache>
                <c:formatCode>0.00%</c:formatCode>
                <c:ptCount val="10"/>
                <c:pt idx="0">
                  <c:v>0.16</c:v>
                </c:pt>
                <c:pt idx="1">
                  <c:v>0.23200000000000001</c:v>
                </c:pt>
                <c:pt idx="2">
                  <c:v>0.40799999999999997</c:v>
                </c:pt>
                <c:pt idx="3">
                  <c:v>0.72799999999999998</c:v>
                </c:pt>
                <c:pt idx="4">
                  <c:v>0.88</c:v>
                </c:pt>
                <c:pt idx="5">
                  <c:v>0.92800000000000005</c:v>
                </c:pt>
                <c:pt idx="6">
                  <c:v>0.96799999999999997</c:v>
                </c:pt>
                <c:pt idx="7">
                  <c:v>0.99199999999999999</c:v>
                </c:pt>
                <c:pt idx="8">
                  <c:v>0.99199999999999999</c:v>
                </c:pt>
                <c:pt idx="9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7653424"/>
        <c:axId val="-1777653968"/>
      </c:lineChart>
      <c:catAx>
        <c:axId val="-4311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bin_true_10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43119760"/>
        <c:crosses val="autoZero"/>
        <c:auto val="1"/>
        <c:lblAlgn val="ctr"/>
        <c:lblOffset val="100"/>
        <c:tickLblSkip val="1"/>
        <c:noMultiLvlLbl val="0"/>
      </c:catAx>
      <c:valAx>
        <c:axId val="-43119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43110512"/>
        <c:crosses val="autoZero"/>
        <c:crossBetween val="between"/>
      </c:valAx>
      <c:valAx>
        <c:axId val="-177765396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-1777653424"/>
        <c:crosses val="max"/>
        <c:crossBetween val="between"/>
      </c:valAx>
      <c:catAx>
        <c:axId val="-1777653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77653968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  <a:r>
              <a:rPr lang="en-US" baseline="0"/>
              <a:t> for bins = 10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bin_calc!$G$1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bin_calc!$F$2:$F$11</c:f>
              <c:strCache>
                <c:ptCount val="10"/>
                <c:pt idx="0">
                  <c:v>30-50</c:v>
                </c:pt>
                <c:pt idx="1">
                  <c:v>50-70</c:v>
                </c:pt>
                <c:pt idx="2">
                  <c:v>70-90</c:v>
                </c:pt>
                <c:pt idx="3">
                  <c:v>90-110</c:v>
                </c:pt>
                <c:pt idx="4">
                  <c:v>110-130</c:v>
                </c:pt>
                <c:pt idx="5">
                  <c:v>130-150</c:v>
                </c:pt>
                <c:pt idx="6">
                  <c:v>150-170</c:v>
                </c:pt>
                <c:pt idx="7">
                  <c:v>170-190</c:v>
                </c:pt>
                <c:pt idx="8">
                  <c:v>190-210</c:v>
                </c:pt>
                <c:pt idx="9">
                  <c:v>210-230</c:v>
                </c:pt>
              </c:strCache>
            </c:strRef>
          </c:cat>
          <c:val>
            <c:numRef>
              <c:f>bin_calc!$G$2:$G$11</c:f>
              <c:numCache>
                <c:formatCode>General</c:formatCode>
                <c:ptCount val="10"/>
                <c:pt idx="0">
                  <c:v>13</c:v>
                </c:pt>
                <c:pt idx="1">
                  <c:v>16</c:v>
                </c:pt>
                <c:pt idx="2">
                  <c:v>22</c:v>
                </c:pt>
                <c:pt idx="3">
                  <c:v>44</c:v>
                </c:pt>
                <c:pt idx="4">
                  <c:v>17</c:v>
                </c:pt>
                <c:pt idx="5">
                  <c:v>5</c:v>
                </c:pt>
                <c:pt idx="6">
                  <c:v>6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1724806448"/>
        <c:axId val="-1724805904"/>
      </c:barChart>
      <c:catAx>
        <c:axId val="-1724806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</a:t>
                </a:r>
                <a:r>
                  <a:rPr lang="en-US" baseline="0"/>
                  <a:t> level nGy/hr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4805904"/>
        <c:crosses val="autoZero"/>
        <c:auto val="1"/>
        <c:lblAlgn val="ctr"/>
        <c:lblOffset val="100"/>
        <c:noMultiLvlLbl val="0"/>
      </c:catAx>
      <c:valAx>
        <c:axId val="-172480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480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bin_calc_true_width!$G$1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bin_calc_true_width!$F$2:$F$11</c:f>
              <c:strCache>
                <c:ptCount val="10"/>
                <c:pt idx="0">
                  <c:v>36-54.22</c:v>
                </c:pt>
                <c:pt idx="1">
                  <c:v>54.22-72.44</c:v>
                </c:pt>
                <c:pt idx="2">
                  <c:v>72.44-90.66</c:v>
                </c:pt>
                <c:pt idx="3">
                  <c:v>90.66-108.88</c:v>
                </c:pt>
                <c:pt idx="4">
                  <c:v>108.88-127.1</c:v>
                </c:pt>
                <c:pt idx="5">
                  <c:v>127.1-145.32</c:v>
                </c:pt>
                <c:pt idx="6">
                  <c:v>145.32-163.54</c:v>
                </c:pt>
                <c:pt idx="7">
                  <c:v>163.54-181.76</c:v>
                </c:pt>
                <c:pt idx="8">
                  <c:v>181.76-199.98</c:v>
                </c:pt>
                <c:pt idx="9">
                  <c:v>199.98-218.2</c:v>
                </c:pt>
              </c:strCache>
            </c:strRef>
          </c:cat>
          <c:val>
            <c:numRef>
              <c:f>bin_calc_true_width!$G$2:$G$11</c:f>
              <c:numCache>
                <c:formatCode>General</c:formatCode>
                <c:ptCount val="10"/>
                <c:pt idx="0">
                  <c:v>20</c:v>
                </c:pt>
                <c:pt idx="1">
                  <c:v>9</c:v>
                </c:pt>
                <c:pt idx="2">
                  <c:v>22</c:v>
                </c:pt>
                <c:pt idx="3">
                  <c:v>40</c:v>
                </c:pt>
                <c:pt idx="4">
                  <c:v>19</c:v>
                </c:pt>
                <c:pt idx="5">
                  <c:v>6</c:v>
                </c:pt>
                <c:pt idx="6">
                  <c:v>5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17215808"/>
        <c:axId val="-1917216896"/>
      </c:barChart>
      <c:catAx>
        <c:axId val="-191721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17216896"/>
        <c:crosses val="autoZero"/>
        <c:auto val="1"/>
        <c:lblAlgn val="ctr"/>
        <c:lblOffset val="100"/>
        <c:noMultiLvlLbl val="0"/>
      </c:catAx>
      <c:valAx>
        <c:axId val="-191721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1721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95249</xdr:colOff>
      <xdr:row>1</xdr:row>
      <xdr:rowOff>142874</xdr:rowOff>
    </xdr:from>
    <xdr:to>
      <xdr:col>21</xdr:col>
      <xdr:colOff>523874</xdr:colOff>
      <xdr:row>24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328611</xdr:colOff>
      <xdr:row>6</xdr:row>
      <xdr:rowOff>42862</xdr:rowOff>
    </xdr:from>
    <xdr:to>
      <xdr:col>9</xdr:col>
      <xdr:colOff>600075</xdr:colOff>
      <xdr:row>28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</xdr:colOff>
      <xdr:row>2</xdr:row>
      <xdr:rowOff>85725</xdr:rowOff>
    </xdr:from>
    <xdr:to>
      <xdr:col>19</xdr:col>
      <xdr:colOff>409575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752474</xdr:colOff>
      <xdr:row>8</xdr:row>
      <xdr:rowOff>23811</xdr:rowOff>
    </xdr:from>
    <xdr:to>
      <xdr:col>10</xdr:col>
      <xdr:colOff>209549</xdr:colOff>
      <xdr:row>24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495299</xdr:colOff>
      <xdr:row>0</xdr:row>
      <xdr:rowOff>104774</xdr:rowOff>
    </xdr:from>
    <xdr:to>
      <xdr:col>19</xdr:col>
      <xdr:colOff>314324</xdr:colOff>
      <xdr:row>25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371474</xdr:colOff>
      <xdr:row>0</xdr:row>
      <xdr:rowOff>152400</xdr:rowOff>
    </xdr:from>
    <xdr:to>
      <xdr:col>15</xdr:col>
      <xdr:colOff>38099</xdr:colOff>
      <xdr:row>24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466724</xdr:colOff>
      <xdr:row>0</xdr:row>
      <xdr:rowOff>0</xdr:rowOff>
    </xdr:from>
    <xdr:to>
      <xdr:col>18</xdr:col>
      <xdr:colOff>266700</xdr:colOff>
      <xdr:row>24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2</xdr:row>
      <xdr:rowOff>1</xdr:rowOff>
    </xdr:from>
    <xdr:to>
      <xdr:col>19</xdr:col>
      <xdr:colOff>257175</xdr:colOff>
      <xdr:row>30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I4" sqref="I4"/>
    </sheetView>
  </sheetViews>
  <sheetFormatPr defaultRowHeight="15" x14ac:dyDescent="0.25"/>
  <cols>
    <col min="1" max="1" width="5.28515625" bestFit="1" customWidth="1"/>
    <col min="2" max="2" width="10.5703125" bestFit="1" customWidth="1"/>
    <col min="3" max="3" width="12.140625" bestFit="1" customWidth="1"/>
    <col min="4" max="4" width="13.5703125" bestFit="1" customWidth="1"/>
    <col min="5" max="5" width="5.28515625" bestFit="1" customWidth="1"/>
    <col min="6" max="6" width="10.5703125" bestFit="1" customWidth="1"/>
    <col min="7" max="7" width="13.5703125" bestFit="1" customWidth="1"/>
  </cols>
  <sheetData>
    <row r="1" spans="1:7" x14ac:dyDescent="0.25">
      <c r="A1" s="4" t="s">
        <v>7</v>
      </c>
      <c r="B1" s="4" t="s">
        <v>10</v>
      </c>
      <c r="C1" s="4" t="s">
        <v>13</v>
      </c>
      <c r="D1" s="4" t="s">
        <v>11</v>
      </c>
      <c r="E1" s="4" t="s">
        <v>7</v>
      </c>
      <c r="F1" s="4" t="s">
        <v>10</v>
      </c>
      <c r="G1" s="4" t="s">
        <v>11</v>
      </c>
    </row>
    <row r="2" spans="1:7" x14ac:dyDescent="0.25">
      <c r="A2" s="1">
        <v>80</v>
      </c>
      <c r="B2" s="2">
        <v>34</v>
      </c>
      <c r="C2" s="2">
        <f>B2/125*100</f>
        <v>27.200000000000003</v>
      </c>
      <c r="D2" s="5">
        <v>0.27200000000000002</v>
      </c>
      <c r="E2" s="1">
        <v>160</v>
      </c>
      <c r="F2" s="2">
        <v>86</v>
      </c>
      <c r="G2" s="5">
        <v>0.68799999999999994</v>
      </c>
    </row>
    <row r="3" spans="1:7" x14ac:dyDescent="0.25">
      <c r="A3" s="1">
        <v>160</v>
      </c>
      <c r="B3" s="2">
        <v>86</v>
      </c>
      <c r="C3" s="2">
        <f t="shared" ref="C3:C4" si="0">B3/125*100</f>
        <v>68.8</v>
      </c>
      <c r="D3" s="5">
        <v>0.96</v>
      </c>
      <c r="E3" s="1">
        <v>80</v>
      </c>
      <c r="F3" s="2">
        <v>34</v>
      </c>
      <c r="G3" s="5">
        <v>0.96</v>
      </c>
    </row>
    <row r="4" spans="1:7" x14ac:dyDescent="0.25">
      <c r="A4" s="1">
        <v>240</v>
      </c>
      <c r="B4" s="2">
        <v>5</v>
      </c>
      <c r="C4" s="2">
        <f t="shared" si="0"/>
        <v>4</v>
      </c>
      <c r="D4" s="5">
        <v>1</v>
      </c>
      <c r="E4" s="1">
        <v>240</v>
      </c>
      <c r="F4" s="2">
        <v>5</v>
      </c>
      <c r="G4" s="5">
        <v>1</v>
      </c>
    </row>
    <row r="5" spans="1:7" x14ac:dyDescent="0.25">
      <c r="B5">
        <f>SUM(B2:B4)</f>
        <v>125</v>
      </c>
    </row>
  </sheetData>
  <sortState ref="E2:F5">
    <sortCondition descending="1" ref="F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2" sqref="A2:C7"/>
    </sheetView>
  </sheetViews>
  <sheetFormatPr defaultRowHeight="15" x14ac:dyDescent="0.25"/>
  <cols>
    <col min="1" max="1" width="5.7109375" bestFit="1" customWidth="1"/>
    <col min="2" max="2" width="10.5703125" bestFit="1" customWidth="1"/>
    <col min="3" max="3" width="13.5703125" bestFit="1" customWidth="1"/>
    <col min="4" max="4" width="5.7109375" bestFit="1" customWidth="1"/>
    <col min="5" max="5" width="10.5703125" bestFit="1" customWidth="1"/>
    <col min="6" max="6" width="13.5703125" bestFit="1" customWidth="1"/>
  </cols>
  <sheetData>
    <row r="1" spans="1:6" x14ac:dyDescent="0.25">
      <c r="A1" s="4" t="s">
        <v>8</v>
      </c>
      <c r="B1" s="4" t="s">
        <v>10</v>
      </c>
      <c r="C1" s="4" t="s">
        <v>11</v>
      </c>
      <c r="D1" s="4" t="s">
        <v>8</v>
      </c>
      <c r="E1" s="4" t="s">
        <v>10</v>
      </c>
      <c r="F1" s="4" t="s">
        <v>11</v>
      </c>
    </row>
    <row r="2" spans="1:6" x14ac:dyDescent="0.25">
      <c r="A2" s="1">
        <v>44</v>
      </c>
      <c r="B2" s="2">
        <v>8</v>
      </c>
      <c r="C2" s="5">
        <v>6.4000000000000001E-2</v>
      </c>
      <c r="D2" s="1">
        <v>132</v>
      </c>
      <c r="E2" s="2">
        <v>68</v>
      </c>
      <c r="F2" s="5">
        <v>0.54400000000000004</v>
      </c>
    </row>
    <row r="3" spans="1:6" x14ac:dyDescent="0.25">
      <c r="A3" s="1">
        <v>88</v>
      </c>
      <c r="B3" s="2">
        <v>37</v>
      </c>
      <c r="C3" s="5">
        <v>0.36</v>
      </c>
      <c r="D3" s="1">
        <v>88</v>
      </c>
      <c r="E3" s="2">
        <v>37</v>
      </c>
      <c r="F3" s="5">
        <v>0.84</v>
      </c>
    </row>
    <row r="4" spans="1:6" x14ac:dyDescent="0.25">
      <c r="A4" s="1">
        <v>132</v>
      </c>
      <c r="B4" s="2">
        <v>68</v>
      </c>
      <c r="C4" s="5">
        <v>0.90400000000000003</v>
      </c>
      <c r="D4" s="1">
        <v>176</v>
      </c>
      <c r="E4" s="2">
        <v>11</v>
      </c>
      <c r="F4" s="5">
        <v>0.92800000000000005</v>
      </c>
    </row>
    <row r="5" spans="1:6" x14ac:dyDescent="0.25">
      <c r="A5" s="1">
        <v>176</v>
      </c>
      <c r="B5" s="2">
        <v>11</v>
      </c>
      <c r="C5" s="5">
        <v>0.99199999999999999</v>
      </c>
      <c r="D5" s="1">
        <v>44</v>
      </c>
      <c r="E5" s="2">
        <v>8</v>
      </c>
      <c r="F5" s="5">
        <v>0.99199999999999999</v>
      </c>
    </row>
    <row r="6" spans="1:6" x14ac:dyDescent="0.25">
      <c r="A6" s="1">
        <v>220</v>
      </c>
      <c r="B6" s="2">
        <v>1</v>
      </c>
      <c r="C6" s="5">
        <v>1</v>
      </c>
      <c r="D6" s="1">
        <v>220</v>
      </c>
      <c r="E6" s="2">
        <v>1</v>
      </c>
      <c r="F6" s="5">
        <v>1</v>
      </c>
    </row>
    <row r="7" spans="1:6" ht="15.75" thickBot="1" x14ac:dyDescent="0.3">
      <c r="A7" s="3" t="s">
        <v>9</v>
      </c>
      <c r="B7" s="3">
        <v>0</v>
      </c>
      <c r="C7" s="6">
        <v>1</v>
      </c>
      <c r="D7" s="7" t="s">
        <v>9</v>
      </c>
      <c r="E7" s="3">
        <v>0</v>
      </c>
      <c r="F7" s="6">
        <v>1</v>
      </c>
    </row>
  </sheetData>
  <sortState ref="D2:E7">
    <sortCondition descending="1" ref="E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E17" sqref="E17"/>
    </sheetView>
  </sheetViews>
  <sheetFormatPr defaultRowHeight="15" x14ac:dyDescent="0.25"/>
  <cols>
    <col min="1" max="1" width="5.7109375" bestFit="1" customWidth="1"/>
    <col min="2" max="2" width="10.5703125" bestFit="1" customWidth="1"/>
    <col min="3" max="3" width="10.5703125" customWidth="1"/>
    <col min="4" max="4" width="13.5703125" bestFit="1" customWidth="1"/>
  </cols>
  <sheetData>
    <row r="1" spans="1:4" x14ac:dyDescent="0.25">
      <c r="A1" s="4" t="s">
        <v>12</v>
      </c>
      <c r="B1" s="4" t="s">
        <v>10</v>
      </c>
      <c r="C1" s="4"/>
      <c r="D1" s="4" t="s">
        <v>11</v>
      </c>
    </row>
    <row r="2" spans="1:4" x14ac:dyDescent="0.25">
      <c r="A2" s="1">
        <v>50</v>
      </c>
      <c r="B2" s="2">
        <v>13</v>
      </c>
      <c r="C2" s="2"/>
      <c r="D2" s="5">
        <v>0.104</v>
      </c>
    </row>
    <row r="3" spans="1:4" x14ac:dyDescent="0.25">
      <c r="A3" s="1">
        <v>75</v>
      </c>
      <c r="B3" s="2">
        <v>17</v>
      </c>
      <c r="C3" s="2"/>
      <c r="D3" s="5">
        <v>0.24</v>
      </c>
    </row>
    <row r="4" spans="1:4" x14ac:dyDescent="0.25">
      <c r="A4" s="1">
        <v>100</v>
      </c>
      <c r="B4" s="2">
        <v>43</v>
      </c>
      <c r="C4" s="2"/>
      <c r="D4" s="5">
        <v>0.58399999999999996</v>
      </c>
    </row>
    <row r="5" spans="1:4" x14ac:dyDescent="0.25">
      <c r="A5" s="1">
        <v>125</v>
      </c>
      <c r="B5" s="2">
        <v>35</v>
      </c>
      <c r="C5" s="2"/>
      <c r="D5" s="5">
        <v>0.86399999999999999</v>
      </c>
    </row>
    <row r="6" spans="1:4" x14ac:dyDescent="0.25">
      <c r="A6" s="1">
        <v>150</v>
      </c>
      <c r="B6" s="2">
        <v>9</v>
      </c>
      <c r="C6" s="2"/>
      <c r="D6" s="5">
        <v>0.93600000000000005</v>
      </c>
    </row>
    <row r="7" spans="1:4" x14ac:dyDescent="0.25">
      <c r="A7" s="1">
        <v>175</v>
      </c>
      <c r="B7" s="2">
        <v>7</v>
      </c>
      <c r="C7" s="2"/>
      <c r="D7" s="5">
        <v>0.99199999999999999</v>
      </c>
    </row>
    <row r="8" spans="1:4" x14ac:dyDescent="0.25">
      <c r="A8" s="1">
        <v>200</v>
      </c>
      <c r="B8" s="2">
        <v>0</v>
      </c>
      <c r="C8" s="2"/>
      <c r="D8" s="5">
        <v>0.99199999999999999</v>
      </c>
    </row>
    <row r="9" spans="1:4" x14ac:dyDescent="0.25">
      <c r="A9" s="1">
        <v>225</v>
      </c>
      <c r="B9" s="2">
        <v>1</v>
      </c>
      <c r="C9" s="2"/>
      <c r="D9" s="5">
        <v>1</v>
      </c>
    </row>
    <row r="10" spans="1:4" x14ac:dyDescent="0.25">
      <c r="B10">
        <f>SUM(B2:B9)</f>
        <v>125</v>
      </c>
    </row>
  </sheetData>
  <sortState ref="A2:A9">
    <sortCondition ref="A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P14" sqref="P14"/>
    </sheetView>
  </sheetViews>
  <sheetFormatPr defaultRowHeight="15" x14ac:dyDescent="0.25"/>
  <cols>
    <col min="1" max="1" width="11.85546875" bestFit="1" customWidth="1"/>
    <col min="2" max="2" width="10.5703125" bestFit="1" customWidth="1"/>
    <col min="3" max="3" width="13.5703125" bestFit="1" customWidth="1"/>
  </cols>
  <sheetData>
    <row r="1" spans="1:3" x14ac:dyDescent="0.25">
      <c r="A1" s="4" t="s">
        <v>41</v>
      </c>
      <c r="B1" s="4" t="s">
        <v>10</v>
      </c>
      <c r="C1" s="4" t="s">
        <v>11</v>
      </c>
    </row>
    <row r="2" spans="1:3" x14ac:dyDescent="0.25">
      <c r="A2" s="1">
        <v>54.22</v>
      </c>
      <c r="B2" s="2">
        <v>20</v>
      </c>
      <c r="C2" s="5">
        <v>0.16</v>
      </c>
    </row>
    <row r="3" spans="1:3" x14ac:dyDescent="0.25">
      <c r="A3" s="1">
        <v>72.44</v>
      </c>
      <c r="B3" s="2">
        <v>9</v>
      </c>
      <c r="C3" s="5">
        <v>0.23200000000000001</v>
      </c>
    </row>
    <row r="4" spans="1:3" x14ac:dyDescent="0.25">
      <c r="A4" s="1">
        <v>90.66</v>
      </c>
      <c r="B4" s="2">
        <v>22</v>
      </c>
      <c r="C4" s="5">
        <v>0.40799999999999997</v>
      </c>
    </row>
    <row r="5" spans="1:3" x14ac:dyDescent="0.25">
      <c r="A5" s="1">
        <v>108.88</v>
      </c>
      <c r="B5" s="2">
        <v>40</v>
      </c>
      <c r="C5" s="5">
        <v>0.72799999999999998</v>
      </c>
    </row>
    <row r="6" spans="1:3" x14ac:dyDescent="0.25">
      <c r="A6" s="1">
        <v>127.1</v>
      </c>
      <c r="B6" s="2">
        <v>19</v>
      </c>
      <c r="C6" s="5">
        <v>0.88</v>
      </c>
    </row>
    <row r="7" spans="1:3" x14ac:dyDescent="0.25">
      <c r="A7" s="1">
        <v>145.32</v>
      </c>
      <c r="B7" s="2">
        <v>6</v>
      </c>
      <c r="C7" s="5">
        <v>0.92800000000000005</v>
      </c>
    </row>
    <row r="8" spans="1:3" x14ac:dyDescent="0.25">
      <c r="A8" s="1">
        <v>163.54</v>
      </c>
      <c r="B8" s="2">
        <v>5</v>
      </c>
      <c r="C8" s="5">
        <v>0.96799999999999997</v>
      </c>
    </row>
    <row r="9" spans="1:3" x14ac:dyDescent="0.25">
      <c r="A9" s="1">
        <v>181.76</v>
      </c>
      <c r="B9" s="2">
        <v>3</v>
      </c>
      <c r="C9" s="5">
        <v>0.99199999999999999</v>
      </c>
    </row>
    <row r="10" spans="1:3" x14ac:dyDescent="0.25">
      <c r="A10" s="1">
        <v>199.98</v>
      </c>
      <c r="B10" s="2">
        <v>0</v>
      </c>
      <c r="C10" s="5">
        <v>0.99199999999999999</v>
      </c>
    </row>
    <row r="11" spans="1:3" x14ac:dyDescent="0.25">
      <c r="A11" s="1">
        <v>218.2</v>
      </c>
      <c r="B11" s="2">
        <v>1</v>
      </c>
      <c r="C11" s="5">
        <v>1</v>
      </c>
    </row>
  </sheetData>
  <sortState ref="A2:A11">
    <sortCondition ref="A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7"/>
  <sheetViews>
    <sheetView workbookViewId="0">
      <selection activeCell="K1" activeCellId="1" sqref="G1:G1048576 K1:K1048576"/>
    </sheetView>
  </sheetViews>
  <sheetFormatPr defaultRowHeight="15" x14ac:dyDescent="0.25"/>
  <cols>
    <col min="11" max="11" width="12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41</v>
      </c>
    </row>
    <row r="2" spans="1:11" x14ac:dyDescent="0.25">
      <c r="A2">
        <v>13.7</v>
      </c>
      <c r="B2">
        <v>41.9</v>
      </c>
      <c r="C2">
        <v>24.4</v>
      </c>
      <c r="D2">
        <v>0.1</v>
      </c>
      <c r="E2">
        <v>2.8</v>
      </c>
      <c r="F2">
        <v>80.2</v>
      </c>
      <c r="G2">
        <v>83</v>
      </c>
      <c r="H2">
        <v>80</v>
      </c>
      <c r="I2">
        <v>44</v>
      </c>
      <c r="J2">
        <v>50</v>
      </c>
      <c r="K2">
        <v>54.22</v>
      </c>
    </row>
    <row r="3" spans="1:11" x14ac:dyDescent="0.25">
      <c r="A3">
        <v>14</v>
      </c>
      <c r="B3">
        <v>52.6</v>
      </c>
      <c r="C3">
        <v>48.4</v>
      </c>
      <c r="D3">
        <v>0.4</v>
      </c>
      <c r="E3">
        <v>3.3</v>
      </c>
      <c r="F3">
        <v>115.4</v>
      </c>
      <c r="G3">
        <v>118.7</v>
      </c>
      <c r="H3">
        <v>160</v>
      </c>
      <c r="I3">
        <v>88</v>
      </c>
      <c r="J3">
        <v>75</v>
      </c>
      <c r="K3">
        <v>72.44</v>
      </c>
    </row>
    <row r="4" spans="1:11" x14ac:dyDescent="0.25">
      <c r="A4">
        <v>12.3</v>
      </c>
      <c r="B4">
        <v>40.6</v>
      </c>
      <c r="C4">
        <v>27.7</v>
      </c>
      <c r="D4">
        <v>0.2</v>
      </c>
      <c r="E4">
        <v>1.6</v>
      </c>
      <c r="F4">
        <v>80.8</v>
      </c>
      <c r="G4">
        <v>82.3</v>
      </c>
      <c r="H4">
        <v>240</v>
      </c>
      <c r="I4">
        <v>132</v>
      </c>
      <c r="J4">
        <v>100</v>
      </c>
      <c r="K4">
        <v>90.66</v>
      </c>
    </row>
    <row r="5" spans="1:11" x14ac:dyDescent="0.25">
      <c r="A5">
        <v>13.2</v>
      </c>
      <c r="B5">
        <v>45.9</v>
      </c>
      <c r="C5">
        <v>29.6</v>
      </c>
      <c r="D5">
        <v>0.4</v>
      </c>
      <c r="E5">
        <v>2.5</v>
      </c>
      <c r="F5">
        <v>89.2</v>
      </c>
      <c r="G5">
        <v>91.6</v>
      </c>
      <c r="I5">
        <v>176</v>
      </c>
      <c r="J5">
        <v>125</v>
      </c>
      <c r="K5">
        <v>108.88</v>
      </c>
    </row>
    <row r="6" spans="1:11" x14ac:dyDescent="0.25">
      <c r="A6">
        <v>11.3</v>
      </c>
      <c r="B6">
        <v>40.6</v>
      </c>
      <c r="C6">
        <v>21.6</v>
      </c>
      <c r="D6">
        <v>0.1</v>
      </c>
      <c r="E6">
        <v>1.6</v>
      </c>
      <c r="F6">
        <v>73.599999999999994</v>
      </c>
      <c r="G6">
        <v>75.2</v>
      </c>
      <c r="I6">
        <v>220</v>
      </c>
      <c r="J6">
        <v>150</v>
      </c>
      <c r="K6">
        <v>127.1</v>
      </c>
    </row>
    <row r="7" spans="1:11" x14ac:dyDescent="0.25">
      <c r="A7">
        <v>15.8</v>
      </c>
      <c r="B7">
        <v>20</v>
      </c>
      <c r="C7">
        <v>8.9</v>
      </c>
      <c r="D7">
        <v>0.1</v>
      </c>
      <c r="E7">
        <v>6</v>
      </c>
      <c r="F7">
        <v>44.8</v>
      </c>
      <c r="G7">
        <v>50.8</v>
      </c>
      <c r="J7">
        <v>175</v>
      </c>
      <c r="K7">
        <v>145.32</v>
      </c>
    </row>
    <row r="8" spans="1:11" x14ac:dyDescent="0.25">
      <c r="A8">
        <v>14.3</v>
      </c>
      <c r="B8">
        <v>45.3</v>
      </c>
      <c r="C8">
        <v>25.4</v>
      </c>
      <c r="D8">
        <v>0.2</v>
      </c>
      <c r="E8">
        <v>1.1000000000000001</v>
      </c>
      <c r="F8">
        <v>85.2</v>
      </c>
      <c r="G8">
        <v>86.3</v>
      </c>
      <c r="J8">
        <v>200</v>
      </c>
      <c r="K8">
        <v>163.54</v>
      </c>
    </row>
    <row r="9" spans="1:11" x14ac:dyDescent="0.25">
      <c r="A9">
        <v>15.5</v>
      </c>
      <c r="B9">
        <v>50.6</v>
      </c>
      <c r="C9">
        <v>28.2</v>
      </c>
      <c r="D9">
        <v>0.2</v>
      </c>
      <c r="E9">
        <v>1.7</v>
      </c>
      <c r="F9">
        <v>94.5</v>
      </c>
      <c r="G9">
        <v>96.2</v>
      </c>
      <c r="J9">
        <v>225</v>
      </c>
      <c r="K9">
        <v>181.76</v>
      </c>
    </row>
    <row r="10" spans="1:11" x14ac:dyDescent="0.25">
      <c r="A10">
        <v>13.3</v>
      </c>
      <c r="B10">
        <v>59.2</v>
      </c>
      <c r="C10">
        <v>30.6</v>
      </c>
      <c r="D10">
        <v>0.2</v>
      </c>
      <c r="E10">
        <v>1.8</v>
      </c>
      <c r="F10">
        <v>103.3</v>
      </c>
      <c r="G10">
        <v>105.1</v>
      </c>
      <c r="K10">
        <v>199.98</v>
      </c>
    </row>
    <row r="11" spans="1:11" x14ac:dyDescent="0.25">
      <c r="A11">
        <v>12.6</v>
      </c>
      <c r="B11">
        <v>37.9</v>
      </c>
      <c r="C11">
        <v>41.8</v>
      </c>
      <c r="D11">
        <v>0.2</v>
      </c>
      <c r="E11">
        <v>2.4</v>
      </c>
      <c r="F11">
        <v>92.6</v>
      </c>
      <c r="G11">
        <v>94.9</v>
      </c>
      <c r="K11">
        <v>218.2</v>
      </c>
    </row>
    <row r="12" spans="1:11" x14ac:dyDescent="0.25">
      <c r="A12">
        <v>11.7</v>
      </c>
      <c r="B12">
        <v>28.6</v>
      </c>
      <c r="C12">
        <v>34.299999999999997</v>
      </c>
      <c r="D12">
        <v>0.2</v>
      </c>
      <c r="E12">
        <v>5</v>
      </c>
      <c r="F12">
        <v>74.900000000000006</v>
      </c>
      <c r="G12">
        <v>79.900000000000006</v>
      </c>
    </row>
    <row r="13" spans="1:11" x14ac:dyDescent="0.25">
      <c r="A13">
        <v>12.2</v>
      </c>
      <c r="B13">
        <v>30.6</v>
      </c>
      <c r="C13">
        <v>57.3</v>
      </c>
      <c r="D13">
        <v>0.2</v>
      </c>
      <c r="E13">
        <v>9.3000000000000007</v>
      </c>
      <c r="F13">
        <v>100.4</v>
      </c>
      <c r="G13">
        <v>109.7</v>
      </c>
    </row>
    <row r="14" spans="1:11" x14ac:dyDescent="0.25">
      <c r="A14">
        <v>16.2</v>
      </c>
      <c r="B14">
        <v>53.2</v>
      </c>
      <c r="C14">
        <v>36.200000000000003</v>
      </c>
      <c r="D14">
        <v>0.2</v>
      </c>
      <c r="E14">
        <v>2</v>
      </c>
      <c r="F14">
        <v>105.9</v>
      </c>
      <c r="G14">
        <v>107.9</v>
      </c>
    </row>
    <row r="15" spans="1:11" x14ac:dyDescent="0.25">
      <c r="A15">
        <v>14.3</v>
      </c>
      <c r="B15">
        <v>32.6</v>
      </c>
      <c r="C15">
        <v>61.6</v>
      </c>
      <c r="D15">
        <v>0.3</v>
      </c>
      <c r="E15">
        <v>6.6</v>
      </c>
      <c r="F15">
        <v>108.7</v>
      </c>
      <c r="G15">
        <v>115.4</v>
      </c>
    </row>
    <row r="16" spans="1:11" x14ac:dyDescent="0.25">
      <c r="A16">
        <v>15.5</v>
      </c>
      <c r="B16">
        <v>16</v>
      </c>
      <c r="C16">
        <v>8.5</v>
      </c>
      <c r="D16">
        <v>0.1</v>
      </c>
      <c r="E16">
        <v>0.7</v>
      </c>
      <c r="F16">
        <v>40</v>
      </c>
      <c r="G16">
        <v>40.6</v>
      </c>
    </row>
    <row r="17" spans="1:7" x14ac:dyDescent="0.25">
      <c r="A17">
        <v>11.2</v>
      </c>
      <c r="B17">
        <v>35.9</v>
      </c>
      <c r="C17">
        <v>35.700000000000003</v>
      </c>
      <c r="D17">
        <v>0.2</v>
      </c>
      <c r="E17">
        <v>5.3</v>
      </c>
      <c r="F17">
        <v>83</v>
      </c>
      <c r="G17">
        <v>88.3</v>
      </c>
    </row>
    <row r="18" spans="1:7" x14ac:dyDescent="0.25">
      <c r="A18">
        <v>11.7</v>
      </c>
      <c r="B18">
        <v>39.9</v>
      </c>
      <c r="C18">
        <v>42.8</v>
      </c>
      <c r="D18">
        <v>0.2</v>
      </c>
      <c r="E18">
        <v>11.7</v>
      </c>
      <c r="F18">
        <v>94.6</v>
      </c>
      <c r="G18">
        <v>106.3</v>
      </c>
    </row>
    <row r="19" spans="1:7" x14ac:dyDescent="0.25">
      <c r="A19">
        <v>12.9</v>
      </c>
      <c r="B19">
        <v>12.6</v>
      </c>
      <c r="C19">
        <v>8</v>
      </c>
      <c r="D19">
        <v>0.2</v>
      </c>
      <c r="E19">
        <v>2.4</v>
      </c>
      <c r="F19">
        <v>33.700000000000003</v>
      </c>
      <c r="G19">
        <v>36</v>
      </c>
    </row>
    <row r="20" spans="1:7" x14ac:dyDescent="0.25">
      <c r="A20">
        <v>15.9</v>
      </c>
      <c r="B20">
        <v>21.3</v>
      </c>
      <c r="C20">
        <v>11.3</v>
      </c>
      <c r="D20">
        <v>0.1</v>
      </c>
      <c r="E20">
        <v>3.9</v>
      </c>
      <c r="F20">
        <v>48.6</v>
      </c>
      <c r="G20">
        <v>52.5</v>
      </c>
    </row>
    <row r="21" spans="1:7" x14ac:dyDescent="0.25">
      <c r="A21">
        <v>12.5</v>
      </c>
      <c r="B21">
        <v>24</v>
      </c>
      <c r="C21">
        <v>14.6</v>
      </c>
      <c r="D21">
        <v>0.1</v>
      </c>
      <c r="E21">
        <v>2</v>
      </c>
      <c r="F21">
        <v>51.1</v>
      </c>
      <c r="G21">
        <v>53.1</v>
      </c>
    </row>
    <row r="22" spans="1:7" x14ac:dyDescent="0.25">
      <c r="A22">
        <v>18.7</v>
      </c>
      <c r="B22">
        <v>20</v>
      </c>
      <c r="C22">
        <v>9.4</v>
      </c>
      <c r="D22">
        <v>0.1</v>
      </c>
      <c r="E22">
        <v>16.899999999999999</v>
      </c>
      <c r="F22">
        <v>48.2</v>
      </c>
      <c r="G22">
        <v>65.099999999999994</v>
      </c>
    </row>
    <row r="23" spans="1:7" x14ac:dyDescent="0.25">
      <c r="A23">
        <v>15</v>
      </c>
      <c r="B23">
        <v>13.3</v>
      </c>
      <c r="C23">
        <v>7.5</v>
      </c>
      <c r="D23">
        <v>0</v>
      </c>
      <c r="E23">
        <v>2.5</v>
      </c>
      <c r="F23">
        <v>35.9</v>
      </c>
      <c r="G23">
        <v>38.299999999999997</v>
      </c>
    </row>
    <row r="24" spans="1:7" x14ac:dyDescent="0.25">
      <c r="A24">
        <v>18.3</v>
      </c>
      <c r="B24">
        <v>38.6</v>
      </c>
      <c r="C24">
        <v>62.5</v>
      </c>
      <c r="D24">
        <v>0.5</v>
      </c>
      <c r="E24">
        <v>8.1999999999999993</v>
      </c>
      <c r="F24">
        <v>119.9</v>
      </c>
      <c r="G24">
        <v>128.1</v>
      </c>
    </row>
    <row r="25" spans="1:7" x14ac:dyDescent="0.25">
      <c r="A25">
        <v>14.5</v>
      </c>
      <c r="B25">
        <v>37.9</v>
      </c>
      <c r="C25">
        <v>33.799999999999997</v>
      </c>
      <c r="D25">
        <v>0.2</v>
      </c>
      <c r="E25">
        <v>8.9</v>
      </c>
      <c r="F25">
        <v>86.5</v>
      </c>
      <c r="G25">
        <v>95.4</v>
      </c>
    </row>
    <row r="26" spans="1:7" x14ac:dyDescent="0.25">
      <c r="A26">
        <v>20.5</v>
      </c>
      <c r="B26">
        <v>17.3</v>
      </c>
      <c r="C26">
        <v>8.9</v>
      </c>
      <c r="D26">
        <v>0.1</v>
      </c>
      <c r="E26">
        <v>6.2</v>
      </c>
      <c r="F26">
        <v>46.9</v>
      </c>
      <c r="G26">
        <v>53.1</v>
      </c>
    </row>
    <row r="27" spans="1:7" x14ac:dyDescent="0.25">
      <c r="A27">
        <v>11.8</v>
      </c>
      <c r="B27">
        <v>41.3</v>
      </c>
      <c r="C27">
        <v>55.9</v>
      </c>
      <c r="D27">
        <v>0.4</v>
      </c>
      <c r="E27">
        <v>11.8</v>
      </c>
      <c r="F27">
        <v>109.5</v>
      </c>
      <c r="G27">
        <v>121.3</v>
      </c>
    </row>
    <row r="28" spans="1:7" x14ac:dyDescent="0.25">
      <c r="A28">
        <v>22.4</v>
      </c>
      <c r="B28">
        <v>24.6</v>
      </c>
      <c r="C28">
        <v>13.2</v>
      </c>
      <c r="D28">
        <v>0.3</v>
      </c>
      <c r="E28">
        <v>6.9</v>
      </c>
      <c r="F28">
        <v>60.5</v>
      </c>
      <c r="G28">
        <v>67.3</v>
      </c>
    </row>
    <row r="29" spans="1:7" x14ac:dyDescent="0.25">
      <c r="A29">
        <v>12.1</v>
      </c>
      <c r="B29">
        <v>35.299999999999997</v>
      </c>
      <c r="C29">
        <v>87</v>
      </c>
      <c r="D29">
        <v>0.8</v>
      </c>
      <c r="E29">
        <v>17.2</v>
      </c>
      <c r="F29">
        <v>135.1</v>
      </c>
      <c r="G29">
        <v>152.30000000000001</v>
      </c>
    </row>
    <row r="30" spans="1:7" x14ac:dyDescent="0.25">
      <c r="A30">
        <v>8.8000000000000007</v>
      </c>
      <c r="B30">
        <v>25.3</v>
      </c>
      <c r="C30">
        <v>53.6</v>
      </c>
      <c r="D30">
        <v>0.6</v>
      </c>
      <c r="E30">
        <v>14.7</v>
      </c>
      <c r="F30">
        <v>88.3</v>
      </c>
      <c r="G30">
        <v>103</v>
      </c>
    </row>
    <row r="31" spans="1:7" x14ac:dyDescent="0.25">
      <c r="A31">
        <v>12.9</v>
      </c>
      <c r="B31">
        <v>31.9</v>
      </c>
      <c r="C31">
        <v>55.5</v>
      </c>
      <c r="D31">
        <v>0.5</v>
      </c>
      <c r="E31">
        <v>15</v>
      </c>
      <c r="F31">
        <v>100.9</v>
      </c>
      <c r="G31">
        <v>115.8</v>
      </c>
    </row>
    <row r="32" spans="1:7" x14ac:dyDescent="0.25">
      <c r="A32">
        <v>13.2</v>
      </c>
      <c r="B32">
        <v>21.3</v>
      </c>
      <c r="C32">
        <v>40</v>
      </c>
      <c r="D32">
        <v>0.4</v>
      </c>
      <c r="E32">
        <v>7.7</v>
      </c>
      <c r="F32">
        <v>74.900000000000006</v>
      </c>
      <c r="G32">
        <v>82.5</v>
      </c>
    </row>
    <row r="33" spans="1:7" x14ac:dyDescent="0.25">
      <c r="A33">
        <v>13.3</v>
      </c>
      <c r="B33">
        <v>32.6</v>
      </c>
      <c r="C33">
        <v>93.1</v>
      </c>
      <c r="D33">
        <v>0.7</v>
      </c>
      <c r="E33">
        <v>7.5</v>
      </c>
      <c r="F33">
        <v>139.69999999999999</v>
      </c>
      <c r="G33">
        <v>147.19999999999999</v>
      </c>
    </row>
    <row r="34" spans="1:7" x14ac:dyDescent="0.25">
      <c r="A34">
        <v>14</v>
      </c>
      <c r="B34">
        <v>39.299999999999997</v>
      </c>
      <c r="C34">
        <v>63.9</v>
      </c>
      <c r="D34">
        <v>0.5</v>
      </c>
      <c r="E34">
        <v>8.1999999999999993</v>
      </c>
      <c r="F34">
        <v>117.8</v>
      </c>
      <c r="G34">
        <v>126</v>
      </c>
    </row>
    <row r="35" spans="1:7" x14ac:dyDescent="0.25">
      <c r="A35">
        <v>19.8</v>
      </c>
      <c r="B35">
        <v>55.2</v>
      </c>
      <c r="C35">
        <v>27.3</v>
      </c>
      <c r="D35">
        <v>0.2</v>
      </c>
      <c r="E35">
        <v>1.4</v>
      </c>
      <c r="F35">
        <v>102.5</v>
      </c>
      <c r="G35">
        <v>103.8</v>
      </c>
    </row>
    <row r="36" spans="1:7" x14ac:dyDescent="0.25">
      <c r="A36">
        <v>12.5</v>
      </c>
      <c r="B36">
        <v>31.9</v>
      </c>
      <c r="C36">
        <v>82.3</v>
      </c>
      <c r="D36">
        <v>0.3</v>
      </c>
      <c r="E36">
        <v>12.6</v>
      </c>
      <c r="F36">
        <v>127</v>
      </c>
      <c r="G36">
        <v>139.6</v>
      </c>
    </row>
    <row r="37" spans="1:7" x14ac:dyDescent="0.25">
      <c r="A37">
        <v>5.2</v>
      </c>
      <c r="B37">
        <v>8</v>
      </c>
      <c r="C37">
        <v>23.5</v>
      </c>
      <c r="D37">
        <v>0.2</v>
      </c>
      <c r="E37">
        <v>5.4</v>
      </c>
      <c r="F37">
        <v>36.9</v>
      </c>
      <c r="G37">
        <v>42.3</v>
      </c>
    </row>
    <row r="38" spans="1:7" x14ac:dyDescent="0.25">
      <c r="A38">
        <v>17.7</v>
      </c>
      <c r="B38">
        <v>45.9</v>
      </c>
      <c r="C38">
        <v>24</v>
      </c>
      <c r="D38">
        <v>0.1</v>
      </c>
      <c r="E38">
        <v>1.8</v>
      </c>
      <c r="F38">
        <v>87.7</v>
      </c>
      <c r="G38">
        <v>89.5</v>
      </c>
    </row>
    <row r="39" spans="1:7" x14ac:dyDescent="0.25">
      <c r="A39">
        <v>17.5</v>
      </c>
      <c r="B39">
        <v>40.6</v>
      </c>
      <c r="C39">
        <v>32</v>
      </c>
      <c r="D39">
        <v>0.4</v>
      </c>
      <c r="E39">
        <v>3.3</v>
      </c>
      <c r="F39">
        <v>90.5</v>
      </c>
      <c r="G39">
        <v>93.7</v>
      </c>
    </row>
    <row r="40" spans="1:7" x14ac:dyDescent="0.25">
      <c r="A40">
        <v>15.9</v>
      </c>
      <c r="B40">
        <v>45.9</v>
      </c>
      <c r="C40">
        <v>38.5</v>
      </c>
      <c r="D40">
        <v>0.2</v>
      </c>
      <c r="E40">
        <v>3.8</v>
      </c>
      <c r="F40">
        <v>100.6</v>
      </c>
      <c r="G40">
        <v>104.4</v>
      </c>
    </row>
    <row r="41" spans="1:7" x14ac:dyDescent="0.25">
      <c r="A41">
        <v>15</v>
      </c>
      <c r="B41">
        <v>40.6</v>
      </c>
      <c r="C41">
        <v>91.7</v>
      </c>
      <c r="D41">
        <v>0.5</v>
      </c>
      <c r="E41">
        <v>7.5</v>
      </c>
      <c r="F41">
        <v>147.69999999999999</v>
      </c>
      <c r="G41">
        <v>155.19999999999999</v>
      </c>
    </row>
    <row r="42" spans="1:7" x14ac:dyDescent="0.25">
      <c r="A42">
        <v>14.1</v>
      </c>
      <c r="B42">
        <v>43.9</v>
      </c>
      <c r="C42">
        <v>36.700000000000003</v>
      </c>
      <c r="D42">
        <v>0.3</v>
      </c>
      <c r="E42">
        <v>2.4</v>
      </c>
      <c r="F42">
        <v>95</v>
      </c>
      <c r="G42">
        <v>97.3</v>
      </c>
    </row>
    <row r="43" spans="1:7" x14ac:dyDescent="0.25">
      <c r="A43">
        <v>14.4</v>
      </c>
      <c r="B43">
        <v>37.299999999999997</v>
      </c>
      <c r="C43">
        <v>30.1</v>
      </c>
      <c r="D43">
        <v>0.2</v>
      </c>
      <c r="E43">
        <v>9.6</v>
      </c>
      <c r="F43">
        <v>82</v>
      </c>
      <c r="G43">
        <v>91.5</v>
      </c>
    </row>
    <row r="44" spans="1:7" x14ac:dyDescent="0.25">
      <c r="A44">
        <v>12.7</v>
      </c>
      <c r="B44">
        <v>47.3</v>
      </c>
      <c r="C44">
        <v>32.4</v>
      </c>
      <c r="D44">
        <v>0.3</v>
      </c>
      <c r="E44">
        <v>3.4</v>
      </c>
      <c r="F44">
        <v>92.6</v>
      </c>
      <c r="G44">
        <v>96</v>
      </c>
    </row>
    <row r="45" spans="1:7" x14ac:dyDescent="0.25">
      <c r="A45">
        <v>11.1</v>
      </c>
      <c r="B45">
        <v>47.3</v>
      </c>
      <c r="C45">
        <v>31.5</v>
      </c>
      <c r="D45">
        <v>0.2</v>
      </c>
      <c r="E45">
        <v>7.1</v>
      </c>
      <c r="F45">
        <v>90</v>
      </c>
      <c r="G45">
        <v>97.1</v>
      </c>
    </row>
    <row r="46" spans="1:7" x14ac:dyDescent="0.25">
      <c r="A46">
        <v>14.6</v>
      </c>
      <c r="B46">
        <v>44.6</v>
      </c>
      <c r="C46">
        <v>44.7</v>
      </c>
      <c r="D46">
        <v>0.2</v>
      </c>
      <c r="E46">
        <v>8.3000000000000007</v>
      </c>
      <c r="F46">
        <v>104.1</v>
      </c>
      <c r="G46">
        <v>112.4</v>
      </c>
    </row>
    <row r="47" spans="1:7" x14ac:dyDescent="0.25">
      <c r="A47">
        <v>18.8</v>
      </c>
      <c r="B47">
        <v>41.3</v>
      </c>
      <c r="C47">
        <v>40.9</v>
      </c>
      <c r="D47">
        <v>0.2</v>
      </c>
      <c r="E47">
        <v>2.5</v>
      </c>
      <c r="F47">
        <v>101.1</v>
      </c>
      <c r="G47">
        <v>103.6</v>
      </c>
    </row>
    <row r="48" spans="1:7" x14ac:dyDescent="0.25">
      <c r="A48">
        <v>14.7</v>
      </c>
      <c r="B48">
        <v>37.299999999999997</v>
      </c>
      <c r="C48">
        <v>40.9</v>
      </c>
      <c r="D48">
        <v>0.2</v>
      </c>
      <c r="E48">
        <v>0.6</v>
      </c>
      <c r="F48">
        <v>93.1</v>
      </c>
      <c r="G48">
        <v>93.6</v>
      </c>
    </row>
    <row r="49" spans="1:7" x14ac:dyDescent="0.25">
      <c r="A49">
        <v>12.2</v>
      </c>
      <c r="B49">
        <v>43.9</v>
      </c>
      <c r="C49">
        <v>45.1</v>
      </c>
      <c r="D49">
        <v>0.2</v>
      </c>
      <c r="E49">
        <v>4.3</v>
      </c>
      <c r="F49">
        <v>101.5</v>
      </c>
      <c r="G49">
        <v>105.8</v>
      </c>
    </row>
    <row r="50" spans="1:7" x14ac:dyDescent="0.25">
      <c r="A50">
        <v>19.7</v>
      </c>
      <c r="B50">
        <v>43.3</v>
      </c>
      <c r="C50">
        <v>37.6</v>
      </c>
      <c r="D50">
        <v>0.2</v>
      </c>
      <c r="E50">
        <v>8.8000000000000007</v>
      </c>
      <c r="F50">
        <v>100.7</v>
      </c>
      <c r="G50">
        <v>109.5</v>
      </c>
    </row>
    <row r="51" spans="1:7" x14ac:dyDescent="0.25">
      <c r="A51">
        <v>18</v>
      </c>
      <c r="B51">
        <v>45.3</v>
      </c>
      <c r="C51">
        <v>32.4</v>
      </c>
      <c r="D51">
        <v>0.3</v>
      </c>
      <c r="E51">
        <v>1.9</v>
      </c>
      <c r="F51">
        <v>96</v>
      </c>
      <c r="G51">
        <v>97.9</v>
      </c>
    </row>
    <row r="52" spans="1:7" x14ac:dyDescent="0.25">
      <c r="A52">
        <v>18</v>
      </c>
      <c r="B52">
        <v>45.9</v>
      </c>
      <c r="C52">
        <v>48.9</v>
      </c>
      <c r="D52">
        <v>0.3</v>
      </c>
      <c r="E52">
        <v>6.6</v>
      </c>
      <c r="F52">
        <v>113.1</v>
      </c>
      <c r="G52">
        <v>119.8</v>
      </c>
    </row>
    <row r="53" spans="1:7" x14ac:dyDescent="0.25">
      <c r="A53">
        <v>16.899999999999999</v>
      </c>
      <c r="B53">
        <v>42.6</v>
      </c>
      <c r="C53">
        <v>67.2</v>
      </c>
      <c r="D53">
        <v>0.6</v>
      </c>
      <c r="E53">
        <v>6</v>
      </c>
      <c r="F53">
        <v>127.4</v>
      </c>
      <c r="G53">
        <v>133.30000000000001</v>
      </c>
    </row>
    <row r="54" spans="1:7" x14ac:dyDescent="0.25">
      <c r="A54">
        <v>17.7</v>
      </c>
      <c r="B54">
        <v>43.9</v>
      </c>
      <c r="C54">
        <v>51.2</v>
      </c>
      <c r="D54">
        <v>0.3</v>
      </c>
      <c r="E54">
        <v>3.4</v>
      </c>
      <c r="F54">
        <v>113.2</v>
      </c>
      <c r="G54">
        <v>116.6</v>
      </c>
    </row>
    <row r="55" spans="1:7" x14ac:dyDescent="0.25">
      <c r="A55">
        <v>20.399999999999999</v>
      </c>
      <c r="B55">
        <v>43.3</v>
      </c>
      <c r="C55">
        <v>31.5</v>
      </c>
      <c r="D55">
        <v>0.2</v>
      </c>
      <c r="E55">
        <v>3.4</v>
      </c>
      <c r="F55">
        <v>95.3</v>
      </c>
      <c r="G55">
        <v>98.7</v>
      </c>
    </row>
    <row r="56" spans="1:7" x14ac:dyDescent="0.25">
      <c r="A56">
        <v>18.2</v>
      </c>
      <c r="B56">
        <v>45.9</v>
      </c>
      <c r="C56">
        <v>41.8</v>
      </c>
      <c r="D56">
        <v>0.3</v>
      </c>
      <c r="E56">
        <v>4.4000000000000004</v>
      </c>
      <c r="F56">
        <v>106.2</v>
      </c>
      <c r="G56">
        <v>110.6</v>
      </c>
    </row>
    <row r="57" spans="1:7" x14ac:dyDescent="0.25">
      <c r="A57">
        <v>16.899999999999999</v>
      </c>
      <c r="B57">
        <v>39.9</v>
      </c>
      <c r="C57">
        <v>61.6</v>
      </c>
      <c r="D57">
        <v>0.6</v>
      </c>
      <c r="E57">
        <v>6.2</v>
      </c>
      <c r="F57">
        <v>119</v>
      </c>
      <c r="G57">
        <v>125.2</v>
      </c>
    </row>
    <row r="58" spans="1:7" x14ac:dyDescent="0.25">
      <c r="A58">
        <v>17.899999999999999</v>
      </c>
      <c r="B58">
        <v>43.9</v>
      </c>
      <c r="C58">
        <v>89.8</v>
      </c>
      <c r="D58">
        <v>0.7</v>
      </c>
      <c r="E58">
        <v>10.1</v>
      </c>
      <c r="F58">
        <v>152.30000000000001</v>
      </c>
      <c r="G58">
        <v>162.4</v>
      </c>
    </row>
    <row r="59" spans="1:7" x14ac:dyDescent="0.25">
      <c r="A59">
        <v>17.100000000000001</v>
      </c>
      <c r="B59">
        <v>40.6</v>
      </c>
      <c r="C59">
        <v>34.299999999999997</v>
      </c>
      <c r="D59">
        <v>0.2</v>
      </c>
      <c r="E59">
        <v>1.5</v>
      </c>
      <c r="F59">
        <v>92.2</v>
      </c>
      <c r="G59">
        <v>93.7</v>
      </c>
    </row>
    <row r="60" spans="1:7" x14ac:dyDescent="0.25">
      <c r="A60">
        <v>15.7</v>
      </c>
      <c r="B60">
        <v>45.3</v>
      </c>
      <c r="C60">
        <v>48.4</v>
      </c>
      <c r="D60">
        <v>0.3</v>
      </c>
      <c r="E60">
        <v>5.6</v>
      </c>
      <c r="F60">
        <v>109.7</v>
      </c>
      <c r="G60">
        <v>115.3</v>
      </c>
    </row>
    <row r="61" spans="1:7" x14ac:dyDescent="0.25">
      <c r="A61">
        <v>18.2</v>
      </c>
      <c r="B61">
        <v>48.6</v>
      </c>
      <c r="C61">
        <v>26.3</v>
      </c>
      <c r="D61">
        <v>0.2</v>
      </c>
      <c r="E61">
        <v>3.4</v>
      </c>
      <c r="F61">
        <v>93.3</v>
      </c>
      <c r="G61">
        <v>96.7</v>
      </c>
    </row>
    <row r="62" spans="1:7" x14ac:dyDescent="0.25">
      <c r="A62">
        <v>17.399999999999999</v>
      </c>
      <c r="B62">
        <v>39.299999999999997</v>
      </c>
      <c r="C62">
        <v>31.5</v>
      </c>
      <c r="D62">
        <v>0.2</v>
      </c>
      <c r="E62">
        <v>0.9</v>
      </c>
      <c r="F62">
        <v>88.4</v>
      </c>
      <c r="G62">
        <v>89.3</v>
      </c>
    </row>
    <row r="63" spans="1:7" x14ac:dyDescent="0.25">
      <c r="A63">
        <v>13.6</v>
      </c>
      <c r="B63">
        <v>37.9</v>
      </c>
      <c r="C63">
        <v>30.6</v>
      </c>
      <c r="D63">
        <v>0.2</v>
      </c>
      <c r="E63">
        <v>1.7</v>
      </c>
      <c r="F63">
        <v>82.4</v>
      </c>
      <c r="G63">
        <v>84</v>
      </c>
    </row>
    <row r="64" spans="1:7" x14ac:dyDescent="0.25">
      <c r="A64">
        <v>13.8</v>
      </c>
      <c r="B64">
        <v>38.6</v>
      </c>
      <c r="C64">
        <v>25.4</v>
      </c>
      <c r="D64">
        <v>0.2</v>
      </c>
      <c r="E64">
        <v>3.7</v>
      </c>
      <c r="F64">
        <v>78</v>
      </c>
      <c r="G64">
        <v>81.7</v>
      </c>
    </row>
    <row r="65" spans="1:7" x14ac:dyDescent="0.25">
      <c r="A65">
        <v>16.2</v>
      </c>
      <c r="B65">
        <v>52.6</v>
      </c>
      <c r="C65">
        <v>40</v>
      </c>
      <c r="D65">
        <v>0.3</v>
      </c>
      <c r="E65">
        <v>1.4</v>
      </c>
      <c r="F65">
        <v>109</v>
      </c>
      <c r="G65">
        <v>110.3</v>
      </c>
    </row>
    <row r="66" spans="1:7" x14ac:dyDescent="0.25">
      <c r="A66">
        <v>12.7</v>
      </c>
      <c r="B66">
        <v>45.9</v>
      </c>
      <c r="C66">
        <v>47</v>
      </c>
      <c r="D66">
        <v>0.3</v>
      </c>
      <c r="E66">
        <v>2.2999999999999998</v>
      </c>
      <c r="F66">
        <v>105.9</v>
      </c>
      <c r="G66">
        <v>108.2</v>
      </c>
    </row>
    <row r="67" spans="1:7" x14ac:dyDescent="0.25">
      <c r="A67">
        <v>15.6</v>
      </c>
      <c r="B67">
        <v>34.6</v>
      </c>
      <c r="C67">
        <v>22.6</v>
      </c>
      <c r="D67">
        <v>0.2</v>
      </c>
      <c r="E67">
        <v>4.4000000000000004</v>
      </c>
      <c r="F67">
        <v>73</v>
      </c>
      <c r="G67">
        <v>77.400000000000006</v>
      </c>
    </row>
    <row r="68" spans="1:7" x14ac:dyDescent="0.25">
      <c r="A68">
        <v>15</v>
      </c>
      <c r="B68">
        <v>46.6</v>
      </c>
      <c r="C68">
        <v>25.9</v>
      </c>
      <c r="D68">
        <v>0.4</v>
      </c>
      <c r="E68">
        <v>2</v>
      </c>
      <c r="F68">
        <v>87.8</v>
      </c>
      <c r="G68">
        <v>89.8</v>
      </c>
    </row>
    <row r="69" spans="1:7" x14ac:dyDescent="0.25">
      <c r="A69">
        <v>15.8</v>
      </c>
      <c r="B69">
        <v>37.9</v>
      </c>
      <c r="C69">
        <v>25.9</v>
      </c>
      <c r="D69">
        <v>0.3</v>
      </c>
      <c r="E69">
        <v>3.3</v>
      </c>
      <c r="F69">
        <v>79.900000000000006</v>
      </c>
      <c r="G69">
        <v>83.2</v>
      </c>
    </row>
    <row r="70" spans="1:7" x14ac:dyDescent="0.25">
      <c r="A70">
        <v>13.4</v>
      </c>
      <c r="B70">
        <v>31.9</v>
      </c>
      <c r="C70">
        <v>21.2</v>
      </c>
      <c r="D70">
        <v>0.3</v>
      </c>
      <c r="E70">
        <v>7.3</v>
      </c>
      <c r="F70">
        <v>66.8</v>
      </c>
      <c r="G70">
        <v>74.099999999999994</v>
      </c>
    </row>
    <row r="71" spans="1:7" x14ac:dyDescent="0.25">
      <c r="A71">
        <v>14.7</v>
      </c>
      <c r="B71">
        <v>37.299999999999997</v>
      </c>
      <c r="C71">
        <v>53.1</v>
      </c>
      <c r="D71">
        <v>0.3</v>
      </c>
      <c r="E71">
        <v>3.6</v>
      </c>
      <c r="F71">
        <v>105.4</v>
      </c>
      <c r="G71">
        <v>109</v>
      </c>
    </row>
    <row r="72" spans="1:7" x14ac:dyDescent="0.25">
      <c r="A72">
        <v>15.3</v>
      </c>
      <c r="B72">
        <v>49.9</v>
      </c>
      <c r="C72">
        <v>30.1</v>
      </c>
      <c r="D72">
        <v>0.2</v>
      </c>
      <c r="E72">
        <v>2.6</v>
      </c>
      <c r="F72">
        <v>95.5</v>
      </c>
      <c r="G72">
        <v>98.1</v>
      </c>
    </row>
    <row r="73" spans="1:7" x14ac:dyDescent="0.25">
      <c r="A73">
        <v>12.7</v>
      </c>
      <c r="B73">
        <v>31.9</v>
      </c>
      <c r="C73">
        <v>26.3</v>
      </c>
      <c r="D73">
        <v>0.2</v>
      </c>
      <c r="E73">
        <v>5.9</v>
      </c>
      <c r="F73">
        <v>71.2</v>
      </c>
      <c r="G73">
        <v>77.099999999999994</v>
      </c>
    </row>
    <row r="74" spans="1:7" x14ac:dyDescent="0.25">
      <c r="A74">
        <v>20.100000000000001</v>
      </c>
      <c r="B74">
        <v>37.9</v>
      </c>
      <c r="C74">
        <v>38.5</v>
      </c>
      <c r="D74">
        <v>0.2</v>
      </c>
      <c r="E74">
        <v>6.1</v>
      </c>
      <c r="F74">
        <v>96.8</v>
      </c>
      <c r="G74">
        <v>102.8</v>
      </c>
    </row>
    <row r="75" spans="1:7" x14ac:dyDescent="0.25">
      <c r="A75">
        <v>15.8</v>
      </c>
      <c r="B75">
        <v>43.3</v>
      </c>
      <c r="C75">
        <v>29.6</v>
      </c>
      <c r="D75">
        <v>0.3</v>
      </c>
      <c r="E75">
        <v>2.6</v>
      </c>
      <c r="F75">
        <v>88.9</v>
      </c>
      <c r="G75">
        <v>91.5</v>
      </c>
    </row>
    <row r="76" spans="1:7" x14ac:dyDescent="0.25">
      <c r="A76">
        <v>14.6</v>
      </c>
      <c r="B76">
        <v>48.6</v>
      </c>
      <c r="C76">
        <v>36.700000000000003</v>
      </c>
      <c r="D76">
        <v>0.2</v>
      </c>
      <c r="E76">
        <v>2.2999999999999998</v>
      </c>
      <c r="F76">
        <v>100</v>
      </c>
      <c r="G76">
        <v>102.2</v>
      </c>
    </row>
    <row r="77" spans="1:7" x14ac:dyDescent="0.25">
      <c r="A77">
        <v>19.399999999999999</v>
      </c>
      <c r="B77">
        <v>45.3</v>
      </c>
      <c r="C77">
        <v>146.19999999999999</v>
      </c>
      <c r="D77">
        <v>1</v>
      </c>
      <c r="E77">
        <v>6.4</v>
      </c>
      <c r="F77">
        <v>211.8</v>
      </c>
      <c r="G77">
        <v>218.2</v>
      </c>
    </row>
    <row r="78" spans="1:7" x14ac:dyDescent="0.25">
      <c r="A78">
        <v>16.5</v>
      </c>
      <c r="B78">
        <v>36.6</v>
      </c>
      <c r="C78">
        <v>41.4</v>
      </c>
      <c r="D78">
        <v>0.3</v>
      </c>
      <c r="E78">
        <v>5.7</v>
      </c>
      <c r="F78">
        <v>94.8</v>
      </c>
      <c r="G78">
        <v>100.6</v>
      </c>
    </row>
    <row r="79" spans="1:7" x14ac:dyDescent="0.25">
      <c r="A79">
        <v>13.4</v>
      </c>
      <c r="B79">
        <v>58.6</v>
      </c>
      <c r="C79">
        <v>24.4</v>
      </c>
      <c r="D79">
        <v>0.2</v>
      </c>
      <c r="E79">
        <v>3.2</v>
      </c>
      <c r="F79">
        <v>96.6</v>
      </c>
      <c r="G79">
        <v>99.8</v>
      </c>
    </row>
    <row r="80" spans="1:7" x14ac:dyDescent="0.25">
      <c r="A80">
        <v>14.4</v>
      </c>
      <c r="B80">
        <v>40.6</v>
      </c>
      <c r="C80">
        <v>44.2</v>
      </c>
      <c r="D80">
        <v>0.6</v>
      </c>
      <c r="E80">
        <v>5.0999999999999996</v>
      </c>
      <c r="F80">
        <v>99.8</v>
      </c>
      <c r="G80">
        <v>104.8</v>
      </c>
    </row>
    <row r="81" spans="1:7" x14ac:dyDescent="0.25">
      <c r="A81">
        <v>15</v>
      </c>
      <c r="B81">
        <v>19.3</v>
      </c>
      <c r="C81">
        <v>13.2</v>
      </c>
      <c r="D81">
        <v>0.1</v>
      </c>
      <c r="E81">
        <v>2.6</v>
      </c>
      <c r="F81">
        <v>47.5</v>
      </c>
      <c r="G81">
        <v>50.1</v>
      </c>
    </row>
    <row r="82" spans="1:7" x14ac:dyDescent="0.25">
      <c r="A82">
        <v>14</v>
      </c>
      <c r="B82">
        <v>43.3</v>
      </c>
      <c r="C82">
        <v>31</v>
      </c>
      <c r="D82">
        <v>0.4</v>
      </c>
      <c r="E82">
        <v>2.7</v>
      </c>
      <c r="F82">
        <v>88.6</v>
      </c>
      <c r="G82">
        <v>91.3</v>
      </c>
    </row>
    <row r="83" spans="1:7" x14ac:dyDescent="0.25">
      <c r="A83">
        <v>12.1</v>
      </c>
      <c r="B83">
        <v>47.3</v>
      </c>
      <c r="C83">
        <v>55.9</v>
      </c>
      <c r="D83">
        <v>0.6</v>
      </c>
      <c r="E83">
        <v>2.2999999999999998</v>
      </c>
      <c r="F83">
        <v>115.9</v>
      </c>
      <c r="G83">
        <v>118.2</v>
      </c>
    </row>
    <row r="84" spans="1:7" x14ac:dyDescent="0.25">
      <c r="A84">
        <v>18</v>
      </c>
      <c r="B84">
        <v>23.3</v>
      </c>
      <c r="C84">
        <v>14.1</v>
      </c>
      <c r="D84">
        <v>0.1</v>
      </c>
      <c r="E84">
        <v>4.5</v>
      </c>
      <c r="F84">
        <v>55.6</v>
      </c>
      <c r="G84">
        <v>60.1</v>
      </c>
    </row>
    <row r="85" spans="1:7" x14ac:dyDescent="0.25">
      <c r="A85">
        <v>13.9</v>
      </c>
      <c r="B85">
        <v>43.3</v>
      </c>
      <c r="C85">
        <v>30.1</v>
      </c>
      <c r="D85">
        <v>0.3</v>
      </c>
      <c r="E85">
        <v>1.7</v>
      </c>
      <c r="F85">
        <v>87.5</v>
      </c>
      <c r="G85">
        <v>89.2</v>
      </c>
    </row>
    <row r="86" spans="1:7" x14ac:dyDescent="0.25">
      <c r="A86">
        <v>12.5</v>
      </c>
      <c r="B86">
        <v>45.3</v>
      </c>
      <c r="C86">
        <v>31</v>
      </c>
      <c r="D86">
        <v>0.3</v>
      </c>
      <c r="E86">
        <v>8.8000000000000007</v>
      </c>
      <c r="F86">
        <v>89.1</v>
      </c>
      <c r="G86">
        <v>97.9</v>
      </c>
    </row>
    <row r="87" spans="1:7" x14ac:dyDescent="0.25">
      <c r="A87">
        <v>14.2</v>
      </c>
      <c r="B87">
        <v>27.3</v>
      </c>
      <c r="C87">
        <v>30.6</v>
      </c>
      <c r="D87">
        <v>0.3</v>
      </c>
      <c r="E87">
        <v>16.899999999999999</v>
      </c>
      <c r="F87">
        <v>72.3</v>
      </c>
      <c r="G87">
        <v>89.2</v>
      </c>
    </row>
    <row r="88" spans="1:7" x14ac:dyDescent="0.25">
      <c r="A88">
        <v>11.5</v>
      </c>
      <c r="B88">
        <v>43.9</v>
      </c>
      <c r="C88">
        <v>42.8</v>
      </c>
      <c r="D88">
        <v>0.5</v>
      </c>
      <c r="E88">
        <v>10.1</v>
      </c>
      <c r="F88">
        <v>98.7</v>
      </c>
      <c r="G88">
        <v>108.8</v>
      </c>
    </row>
    <row r="89" spans="1:7" x14ac:dyDescent="0.25">
      <c r="A89">
        <v>16</v>
      </c>
      <c r="B89">
        <v>43.3</v>
      </c>
      <c r="C89">
        <v>57.8</v>
      </c>
      <c r="D89">
        <v>0.4</v>
      </c>
      <c r="E89">
        <v>7.3</v>
      </c>
      <c r="F89">
        <v>117.5</v>
      </c>
      <c r="G89">
        <v>124.8</v>
      </c>
    </row>
    <row r="90" spans="1:7" x14ac:dyDescent="0.25">
      <c r="A90">
        <v>16.7</v>
      </c>
      <c r="B90">
        <v>24</v>
      </c>
      <c r="C90">
        <v>15.5</v>
      </c>
      <c r="D90">
        <v>0.1</v>
      </c>
      <c r="E90">
        <v>2.5</v>
      </c>
      <c r="F90">
        <v>56.3</v>
      </c>
      <c r="G90">
        <v>58.8</v>
      </c>
    </row>
    <row r="91" spans="1:7" x14ac:dyDescent="0.25">
      <c r="A91">
        <v>11.7</v>
      </c>
      <c r="B91">
        <v>33.9</v>
      </c>
      <c r="C91">
        <v>46.1</v>
      </c>
      <c r="D91">
        <v>0.2</v>
      </c>
      <c r="E91">
        <v>9.6999999999999993</v>
      </c>
      <c r="F91">
        <v>91.9</v>
      </c>
      <c r="G91">
        <v>101.5</v>
      </c>
    </row>
    <row r="92" spans="1:7" x14ac:dyDescent="0.25">
      <c r="A92">
        <v>13.8</v>
      </c>
      <c r="B92">
        <v>42.6</v>
      </c>
      <c r="C92">
        <v>94</v>
      </c>
      <c r="D92">
        <v>0.8</v>
      </c>
      <c r="E92">
        <v>14.7</v>
      </c>
      <c r="F92">
        <v>151.19999999999999</v>
      </c>
      <c r="G92">
        <v>166</v>
      </c>
    </row>
    <row r="93" spans="1:7" x14ac:dyDescent="0.25">
      <c r="A93">
        <v>15</v>
      </c>
      <c r="B93">
        <v>18.600000000000001</v>
      </c>
      <c r="C93">
        <v>11.3</v>
      </c>
      <c r="D93">
        <v>0.1</v>
      </c>
      <c r="E93">
        <v>3</v>
      </c>
      <c r="F93">
        <v>45.1</v>
      </c>
      <c r="G93">
        <v>48.1</v>
      </c>
    </row>
    <row r="94" spans="1:7" x14ac:dyDescent="0.25">
      <c r="A94">
        <v>14.7</v>
      </c>
      <c r="B94">
        <v>18.600000000000001</v>
      </c>
      <c r="C94">
        <v>9.9</v>
      </c>
      <c r="D94">
        <v>0.1</v>
      </c>
      <c r="E94">
        <v>2</v>
      </c>
      <c r="F94">
        <v>43.3</v>
      </c>
      <c r="G94">
        <v>45.3</v>
      </c>
    </row>
    <row r="95" spans="1:7" x14ac:dyDescent="0.25">
      <c r="A95">
        <v>17.899999999999999</v>
      </c>
      <c r="B95">
        <v>21.3</v>
      </c>
      <c r="C95">
        <v>8.9</v>
      </c>
      <c r="D95">
        <v>0.1</v>
      </c>
      <c r="E95">
        <v>2.2999999999999998</v>
      </c>
      <c r="F95">
        <v>48.2</v>
      </c>
      <c r="G95">
        <v>50.5</v>
      </c>
    </row>
    <row r="96" spans="1:7" x14ac:dyDescent="0.25">
      <c r="A96">
        <v>16.100000000000001</v>
      </c>
      <c r="B96">
        <v>58.6</v>
      </c>
      <c r="C96">
        <v>29.1</v>
      </c>
      <c r="D96">
        <v>0.1</v>
      </c>
      <c r="E96">
        <v>1.5</v>
      </c>
      <c r="F96">
        <v>103.9</v>
      </c>
      <c r="G96">
        <v>105.4</v>
      </c>
    </row>
    <row r="97" spans="1:7" x14ac:dyDescent="0.25">
      <c r="A97">
        <v>18.600000000000001</v>
      </c>
      <c r="B97">
        <v>48.6</v>
      </c>
      <c r="C97">
        <v>50.3</v>
      </c>
      <c r="D97">
        <v>0.3</v>
      </c>
      <c r="E97">
        <v>6</v>
      </c>
      <c r="F97">
        <v>117.8</v>
      </c>
      <c r="G97">
        <v>123.7</v>
      </c>
    </row>
    <row r="98" spans="1:7" x14ac:dyDescent="0.25">
      <c r="A98">
        <v>18.100000000000001</v>
      </c>
      <c r="B98">
        <v>53.2</v>
      </c>
      <c r="C98">
        <v>55.5</v>
      </c>
      <c r="D98">
        <v>0.6</v>
      </c>
      <c r="E98">
        <v>3.9</v>
      </c>
      <c r="F98">
        <v>127.4</v>
      </c>
      <c r="G98">
        <v>131.4</v>
      </c>
    </row>
    <row r="99" spans="1:7" x14ac:dyDescent="0.25">
      <c r="A99">
        <v>16.3</v>
      </c>
      <c r="B99">
        <v>30.6</v>
      </c>
      <c r="C99">
        <v>70.5</v>
      </c>
      <c r="D99">
        <v>0.5</v>
      </c>
      <c r="E99">
        <v>10.199999999999999</v>
      </c>
      <c r="F99">
        <v>117.9</v>
      </c>
      <c r="G99">
        <v>128.1</v>
      </c>
    </row>
    <row r="100" spans="1:7" x14ac:dyDescent="0.25">
      <c r="A100">
        <v>14.1</v>
      </c>
      <c r="B100">
        <v>44.6</v>
      </c>
      <c r="C100">
        <v>72.400000000000006</v>
      </c>
      <c r="D100">
        <v>0.6</v>
      </c>
      <c r="E100">
        <v>6.6</v>
      </c>
      <c r="F100">
        <v>131.69999999999999</v>
      </c>
      <c r="G100">
        <v>138.4</v>
      </c>
    </row>
    <row r="101" spans="1:7" x14ac:dyDescent="0.25">
      <c r="A101">
        <v>15</v>
      </c>
      <c r="B101">
        <v>30.6</v>
      </c>
      <c r="C101">
        <v>32</v>
      </c>
      <c r="D101">
        <v>0.4</v>
      </c>
      <c r="E101">
        <v>5.9</v>
      </c>
      <c r="F101">
        <v>78</v>
      </c>
      <c r="G101">
        <v>83.9</v>
      </c>
    </row>
    <row r="102" spans="1:7" x14ac:dyDescent="0.25">
      <c r="A102">
        <v>17.3</v>
      </c>
      <c r="B102">
        <v>26</v>
      </c>
      <c r="C102">
        <v>12.7</v>
      </c>
      <c r="D102">
        <v>0.3</v>
      </c>
      <c r="E102">
        <v>9.1</v>
      </c>
      <c r="F102">
        <v>56.2</v>
      </c>
      <c r="G102">
        <v>65.400000000000006</v>
      </c>
    </row>
    <row r="103" spans="1:7" x14ac:dyDescent="0.25">
      <c r="A103">
        <v>14.4</v>
      </c>
      <c r="B103">
        <v>38.6</v>
      </c>
      <c r="C103">
        <v>101.5</v>
      </c>
      <c r="D103">
        <v>0.4</v>
      </c>
      <c r="E103">
        <v>10.5</v>
      </c>
      <c r="F103">
        <v>155</v>
      </c>
      <c r="G103">
        <v>165.5</v>
      </c>
    </row>
    <row r="104" spans="1:7" x14ac:dyDescent="0.25">
      <c r="A104">
        <v>12.9</v>
      </c>
      <c r="B104">
        <v>42.6</v>
      </c>
      <c r="C104">
        <v>82.7</v>
      </c>
      <c r="D104">
        <v>0.7</v>
      </c>
      <c r="E104">
        <v>33.200000000000003</v>
      </c>
      <c r="F104">
        <v>139</v>
      </c>
      <c r="G104">
        <v>172.2</v>
      </c>
    </row>
    <row r="105" spans="1:7" x14ac:dyDescent="0.25">
      <c r="A105">
        <v>12.3</v>
      </c>
      <c r="B105">
        <v>39.299999999999997</v>
      </c>
      <c r="C105">
        <v>89.3</v>
      </c>
      <c r="D105">
        <v>0.6</v>
      </c>
      <c r="E105">
        <v>10.8</v>
      </c>
      <c r="F105">
        <v>141.5</v>
      </c>
      <c r="G105">
        <v>152.30000000000001</v>
      </c>
    </row>
    <row r="106" spans="1:7" x14ac:dyDescent="0.25">
      <c r="A106">
        <v>15.6</v>
      </c>
      <c r="B106">
        <v>41.9</v>
      </c>
      <c r="C106">
        <v>25.9</v>
      </c>
      <c r="D106">
        <v>0.1</v>
      </c>
      <c r="E106">
        <v>2</v>
      </c>
      <c r="F106">
        <v>83.5</v>
      </c>
      <c r="G106">
        <v>85.5</v>
      </c>
    </row>
    <row r="107" spans="1:7" x14ac:dyDescent="0.25">
      <c r="A107">
        <v>15.2</v>
      </c>
      <c r="B107">
        <v>19.3</v>
      </c>
      <c r="C107">
        <v>12.2</v>
      </c>
      <c r="D107">
        <v>0.1</v>
      </c>
      <c r="E107">
        <v>1.9</v>
      </c>
      <c r="F107">
        <v>46.8</v>
      </c>
      <c r="G107">
        <v>48.8</v>
      </c>
    </row>
    <row r="108" spans="1:7" x14ac:dyDescent="0.25">
      <c r="A108">
        <v>14.2</v>
      </c>
      <c r="B108">
        <v>16.600000000000001</v>
      </c>
      <c r="C108">
        <v>8.9</v>
      </c>
      <c r="D108">
        <v>0.1</v>
      </c>
      <c r="E108">
        <v>4.5999999999999996</v>
      </c>
      <c r="F108">
        <v>39.799999999999997</v>
      </c>
      <c r="G108">
        <v>44.5</v>
      </c>
    </row>
    <row r="109" spans="1:7" x14ac:dyDescent="0.25">
      <c r="A109">
        <v>10.4</v>
      </c>
      <c r="B109">
        <v>14</v>
      </c>
      <c r="C109">
        <v>7.1</v>
      </c>
      <c r="D109">
        <v>0.2</v>
      </c>
      <c r="E109">
        <v>26.8</v>
      </c>
      <c r="F109">
        <v>31.6</v>
      </c>
      <c r="G109">
        <v>58.4</v>
      </c>
    </row>
    <row r="110" spans="1:7" x14ac:dyDescent="0.25">
      <c r="A110">
        <v>14.6</v>
      </c>
      <c r="B110">
        <v>14</v>
      </c>
      <c r="C110">
        <v>8.5</v>
      </c>
      <c r="D110">
        <v>0.1</v>
      </c>
      <c r="E110">
        <v>7.3</v>
      </c>
      <c r="F110">
        <v>37.1</v>
      </c>
      <c r="G110">
        <v>44.4</v>
      </c>
    </row>
    <row r="111" spans="1:7" x14ac:dyDescent="0.25">
      <c r="A111">
        <v>22</v>
      </c>
      <c r="B111">
        <v>26.6</v>
      </c>
      <c r="C111">
        <v>12.7</v>
      </c>
      <c r="D111">
        <v>0.3</v>
      </c>
      <c r="E111">
        <v>21.8</v>
      </c>
      <c r="F111">
        <v>61.6</v>
      </c>
      <c r="G111">
        <v>83.5</v>
      </c>
    </row>
    <row r="112" spans="1:7" x14ac:dyDescent="0.25">
      <c r="A112">
        <v>12.8</v>
      </c>
      <c r="B112">
        <v>29.3</v>
      </c>
      <c r="C112">
        <v>19.7</v>
      </c>
      <c r="D112">
        <v>0.4</v>
      </c>
      <c r="E112">
        <v>37.1</v>
      </c>
      <c r="F112">
        <v>62.2</v>
      </c>
      <c r="G112">
        <v>99.3</v>
      </c>
    </row>
    <row r="113" spans="1:7" x14ac:dyDescent="0.25">
      <c r="A113">
        <v>16.100000000000001</v>
      </c>
      <c r="B113">
        <v>14</v>
      </c>
      <c r="C113">
        <v>8.9</v>
      </c>
      <c r="D113">
        <v>0.2</v>
      </c>
      <c r="E113">
        <v>23.3</v>
      </c>
      <c r="F113">
        <v>39.200000000000003</v>
      </c>
      <c r="G113">
        <v>62.5</v>
      </c>
    </row>
    <row r="114" spans="1:7" x14ac:dyDescent="0.25">
      <c r="A114">
        <v>19.7</v>
      </c>
      <c r="B114">
        <v>24.6</v>
      </c>
      <c r="C114">
        <v>10.3</v>
      </c>
      <c r="D114">
        <v>0.1</v>
      </c>
      <c r="E114">
        <v>10.4</v>
      </c>
      <c r="F114">
        <v>54.7</v>
      </c>
      <c r="G114">
        <v>65.099999999999994</v>
      </c>
    </row>
    <row r="115" spans="1:7" x14ac:dyDescent="0.25">
      <c r="A115">
        <v>16.5</v>
      </c>
      <c r="B115">
        <v>12.6</v>
      </c>
      <c r="C115">
        <v>7.5</v>
      </c>
      <c r="D115">
        <v>0.1</v>
      </c>
      <c r="E115">
        <v>4.5</v>
      </c>
      <c r="F115">
        <v>36.799999999999997</v>
      </c>
      <c r="G115">
        <v>41.3</v>
      </c>
    </row>
    <row r="116" spans="1:7" x14ac:dyDescent="0.25">
      <c r="A116">
        <v>16.3</v>
      </c>
      <c r="B116">
        <v>14.6</v>
      </c>
      <c r="C116">
        <v>8.9</v>
      </c>
      <c r="D116">
        <v>0.1</v>
      </c>
      <c r="E116">
        <v>3.5</v>
      </c>
      <c r="F116">
        <v>40</v>
      </c>
      <c r="G116">
        <v>43.4</v>
      </c>
    </row>
    <row r="117" spans="1:7" x14ac:dyDescent="0.25">
      <c r="A117">
        <v>15.9</v>
      </c>
      <c r="B117">
        <v>43.3</v>
      </c>
      <c r="C117">
        <v>47</v>
      </c>
      <c r="D117">
        <v>0.2</v>
      </c>
      <c r="E117">
        <v>3.5</v>
      </c>
      <c r="F117">
        <v>106.3</v>
      </c>
      <c r="G117">
        <v>109.8</v>
      </c>
    </row>
    <row r="118" spans="1:7" x14ac:dyDescent="0.25">
      <c r="A118">
        <v>9.3000000000000007</v>
      </c>
      <c r="B118">
        <v>21.3</v>
      </c>
      <c r="C118">
        <v>16</v>
      </c>
      <c r="D118">
        <v>0.2</v>
      </c>
      <c r="E118">
        <v>4.4000000000000004</v>
      </c>
      <c r="F118">
        <v>46.8</v>
      </c>
      <c r="G118">
        <v>51.2</v>
      </c>
    </row>
    <row r="119" spans="1:7" x14ac:dyDescent="0.25">
      <c r="A119">
        <v>16.600000000000001</v>
      </c>
      <c r="B119">
        <v>44.6</v>
      </c>
      <c r="C119">
        <v>42.8</v>
      </c>
      <c r="D119">
        <v>0.3</v>
      </c>
      <c r="E119">
        <v>2.6</v>
      </c>
      <c r="F119">
        <v>104.2</v>
      </c>
      <c r="G119">
        <v>106.8</v>
      </c>
    </row>
    <row r="120" spans="1:7" x14ac:dyDescent="0.25">
      <c r="A120">
        <v>13</v>
      </c>
      <c r="B120">
        <v>46.6</v>
      </c>
      <c r="C120">
        <v>29.6</v>
      </c>
      <c r="D120">
        <v>0.3</v>
      </c>
      <c r="E120">
        <v>3.9</v>
      </c>
      <c r="F120">
        <v>89.5</v>
      </c>
      <c r="G120">
        <v>93.4</v>
      </c>
    </row>
    <row r="121" spans="1:7" x14ac:dyDescent="0.25">
      <c r="A121">
        <v>10.9</v>
      </c>
      <c r="B121">
        <v>43.9</v>
      </c>
      <c r="C121">
        <v>35.700000000000003</v>
      </c>
      <c r="D121">
        <v>0.3</v>
      </c>
      <c r="E121">
        <v>2.7</v>
      </c>
      <c r="F121">
        <v>90.8</v>
      </c>
      <c r="G121">
        <v>93.5</v>
      </c>
    </row>
    <row r="122" spans="1:7" x14ac:dyDescent="0.25">
      <c r="A122">
        <v>15.4</v>
      </c>
      <c r="B122">
        <v>22.6</v>
      </c>
      <c r="C122">
        <v>12.7</v>
      </c>
      <c r="D122">
        <v>0.1</v>
      </c>
      <c r="E122">
        <v>4.7</v>
      </c>
      <c r="F122">
        <v>50.8</v>
      </c>
      <c r="G122">
        <v>55.6</v>
      </c>
    </row>
    <row r="123" spans="1:7" x14ac:dyDescent="0.25">
      <c r="A123">
        <v>16.7</v>
      </c>
      <c r="B123">
        <v>14.6</v>
      </c>
      <c r="C123">
        <v>8.5</v>
      </c>
      <c r="D123">
        <v>0.1</v>
      </c>
      <c r="E123">
        <v>3.4</v>
      </c>
      <c r="F123">
        <v>39.9</v>
      </c>
      <c r="G123">
        <v>43.2</v>
      </c>
    </row>
    <row r="124" spans="1:7" x14ac:dyDescent="0.25">
      <c r="A124">
        <v>15.6</v>
      </c>
      <c r="B124">
        <v>14.6</v>
      </c>
      <c r="C124">
        <v>8</v>
      </c>
      <c r="D124">
        <v>0.2</v>
      </c>
      <c r="E124">
        <v>1.2</v>
      </c>
      <c r="F124">
        <v>38.4</v>
      </c>
      <c r="G124">
        <v>39.6</v>
      </c>
    </row>
    <row r="125" spans="1:7" x14ac:dyDescent="0.25">
      <c r="A125">
        <v>18.7</v>
      </c>
      <c r="B125">
        <v>47.3</v>
      </c>
      <c r="C125">
        <v>35.700000000000003</v>
      </c>
      <c r="D125">
        <v>0.2</v>
      </c>
      <c r="E125">
        <v>1.8</v>
      </c>
      <c r="F125">
        <v>101.9</v>
      </c>
      <c r="G125">
        <v>103.7</v>
      </c>
    </row>
    <row r="126" spans="1:7" x14ac:dyDescent="0.25">
      <c r="A126">
        <v>13.3</v>
      </c>
      <c r="B126">
        <v>40.6</v>
      </c>
      <c r="C126">
        <v>31</v>
      </c>
      <c r="D126">
        <v>0.2</v>
      </c>
      <c r="E126">
        <v>0.8</v>
      </c>
      <c r="F126">
        <v>85.2</v>
      </c>
      <c r="G126">
        <v>85.9</v>
      </c>
    </row>
    <row r="127" spans="1:7" x14ac:dyDescent="0.25">
      <c r="G127">
        <f>MAX(G2:G126)</f>
        <v>218.2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tabSelected="1" workbookViewId="0">
      <selection activeCell="I22" sqref="I22"/>
    </sheetView>
  </sheetViews>
  <sheetFormatPr defaultRowHeight="15" x14ac:dyDescent="0.25"/>
  <cols>
    <col min="1" max="2" width="6" bestFit="1" customWidth="1"/>
    <col min="3" max="3" width="4.7109375" bestFit="1" customWidth="1"/>
    <col min="4" max="4" width="5" bestFit="1" customWidth="1"/>
    <col min="5" max="5" width="16" bestFit="1" customWidth="1"/>
    <col min="6" max="6" width="9.85546875" bestFit="1" customWidth="1"/>
    <col min="7" max="7" width="10" bestFit="1" customWidth="1"/>
  </cols>
  <sheetData>
    <row r="1" spans="1:7" x14ac:dyDescent="0.25">
      <c r="A1" t="s">
        <v>6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29</v>
      </c>
    </row>
    <row r="2" spans="1:7" x14ac:dyDescent="0.25">
      <c r="A2">
        <v>83</v>
      </c>
      <c r="B2">
        <f>MAX(A2:A126)</f>
        <v>218.2</v>
      </c>
      <c r="C2">
        <f>MIN(A2:A126)</f>
        <v>36</v>
      </c>
      <c r="D2">
        <v>10</v>
      </c>
      <c r="E2">
        <f>(B2-C2)/D2</f>
        <v>18.22</v>
      </c>
      <c r="F2" t="s">
        <v>19</v>
      </c>
      <c r="G2">
        <f>COUNTIFS(A2:A126,"&gt;=30",A2:A126,"&lt;50")</f>
        <v>13</v>
      </c>
    </row>
    <row r="3" spans="1:7" x14ac:dyDescent="0.25">
      <c r="A3">
        <v>118.7</v>
      </c>
      <c r="E3" t="s">
        <v>30</v>
      </c>
      <c r="F3" t="s">
        <v>20</v>
      </c>
      <c r="G3">
        <f>COUNTIFS(A2:A126,"&gt;=50",A2:A126,"&lt;70")</f>
        <v>16</v>
      </c>
    </row>
    <row r="4" spans="1:7" x14ac:dyDescent="0.25">
      <c r="A4">
        <v>82.3</v>
      </c>
      <c r="F4" t="s">
        <v>21</v>
      </c>
      <c r="G4">
        <f>COUNTIFS(A2:A126,"&gt;=70",A2:A126,"&lt;90")</f>
        <v>22</v>
      </c>
    </row>
    <row r="5" spans="1:7" x14ac:dyDescent="0.25">
      <c r="A5">
        <v>91.6</v>
      </c>
      <c r="F5" t="s">
        <v>22</v>
      </c>
      <c r="G5">
        <f>COUNTIFS(A2:A126,"&gt;=90",A2:A126,"&lt;110")</f>
        <v>44</v>
      </c>
    </row>
    <row r="6" spans="1:7" x14ac:dyDescent="0.25">
      <c r="A6">
        <v>75.2</v>
      </c>
      <c r="F6" t="s">
        <v>23</v>
      </c>
      <c r="G6">
        <f>COUNTIFS(A2:A126,"&gt;=110",A2:A126,"&lt;130")</f>
        <v>17</v>
      </c>
    </row>
    <row r="7" spans="1:7" x14ac:dyDescent="0.25">
      <c r="A7">
        <v>50.8</v>
      </c>
      <c r="F7" t="s">
        <v>24</v>
      </c>
      <c r="G7">
        <f>COUNTIFS(A2:A126,"&gt;=130",A2:A126,"&lt;150")</f>
        <v>5</v>
      </c>
    </row>
    <row r="8" spans="1:7" x14ac:dyDescent="0.25">
      <c r="A8">
        <v>86.3</v>
      </c>
      <c r="F8" t="s">
        <v>25</v>
      </c>
      <c r="G8">
        <f>COUNTIFS(A2:A126,"&gt;=150",A2:A126,"&lt;170")</f>
        <v>6</v>
      </c>
    </row>
    <row r="9" spans="1:7" x14ac:dyDescent="0.25">
      <c r="A9">
        <v>96.2</v>
      </c>
      <c r="F9" t="s">
        <v>26</v>
      </c>
      <c r="G9">
        <f>COUNTIFS(A2:A126,"&gt;=170",A2:A126,"&lt;190")</f>
        <v>1</v>
      </c>
    </row>
    <row r="10" spans="1:7" x14ac:dyDescent="0.25">
      <c r="A10">
        <v>105.1</v>
      </c>
      <c r="F10" t="s">
        <v>27</v>
      </c>
      <c r="G10">
        <f>COUNTIFS(A2:A126,"&gt;=190",A2:A126,"&lt;210")</f>
        <v>0</v>
      </c>
    </row>
    <row r="11" spans="1:7" x14ac:dyDescent="0.25">
      <c r="A11">
        <v>94.9</v>
      </c>
      <c r="F11" t="s">
        <v>28</v>
      </c>
      <c r="G11">
        <f>COUNTIFS(A2:A126,"&gt;=210",A2:A126,"&lt;230")</f>
        <v>1</v>
      </c>
    </row>
    <row r="12" spans="1:7" x14ac:dyDescent="0.25">
      <c r="A12">
        <v>79.900000000000006</v>
      </c>
    </row>
    <row r="13" spans="1:7" x14ac:dyDescent="0.25">
      <c r="A13">
        <v>109.7</v>
      </c>
    </row>
    <row r="14" spans="1:7" x14ac:dyDescent="0.25">
      <c r="A14">
        <v>107.9</v>
      </c>
    </row>
    <row r="15" spans="1:7" x14ac:dyDescent="0.25">
      <c r="A15">
        <v>115.4</v>
      </c>
    </row>
    <row r="16" spans="1:7" x14ac:dyDescent="0.25">
      <c r="A16">
        <v>40.6</v>
      </c>
    </row>
    <row r="17" spans="1:1" x14ac:dyDescent="0.25">
      <c r="A17">
        <v>88.3</v>
      </c>
    </row>
    <row r="18" spans="1:1" x14ac:dyDescent="0.25">
      <c r="A18">
        <v>106.3</v>
      </c>
    </row>
    <row r="19" spans="1:1" x14ac:dyDescent="0.25">
      <c r="A19">
        <v>36</v>
      </c>
    </row>
    <row r="20" spans="1:1" x14ac:dyDescent="0.25">
      <c r="A20">
        <v>52.5</v>
      </c>
    </row>
    <row r="21" spans="1:1" x14ac:dyDescent="0.25">
      <c r="A21">
        <v>53.1</v>
      </c>
    </row>
    <row r="22" spans="1:1" x14ac:dyDescent="0.25">
      <c r="A22">
        <v>65.099999999999994</v>
      </c>
    </row>
    <row r="23" spans="1:1" x14ac:dyDescent="0.25">
      <c r="A23">
        <v>38.299999999999997</v>
      </c>
    </row>
    <row r="24" spans="1:1" x14ac:dyDescent="0.25">
      <c r="A24">
        <v>128.1</v>
      </c>
    </row>
    <row r="25" spans="1:1" x14ac:dyDescent="0.25">
      <c r="A25">
        <v>95.4</v>
      </c>
    </row>
    <row r="26" spans="1:1" x14ac:dyDescent="0.25">
      <c r="A26">
        <v>53.1</v>
      </c>
    </row>
    <row r="27" spans="1:1" x14ac:dyDescent="0.25">
      <c r="A27">
        <v>121.3</v>
      </c>
    </row>
    <row r="28" spans="1:1" x14ac:dyDescent="0.25">
      <c r="A28">
        <v>67.3</v>
      </c>
    </row>
    <row r="29" spans="1:1" x14ac:dyDescent="0.25">
      <c r="A29">
        <v>152.30000000000001</v>
      </c>
    </row>
    <row r="30" spans="1:1" x14ac:dyDescent="0.25">
      <c r="A30">
        <v>103</v>
      </c>
    </row>
    <row r="31" spans="1:1" x14ac:dyDescent="0.25">
      <c r="A31">
        <v>115.8</v>
      </c>
    </row>
    <row r="32" spans="1:1" x14ac:dyDescent="0.25">
      <c r="A32">
        <v>82.5</v>
      </c>
    </row>
    <row r="33" spans="1:1" x14ac:dyDescent="0.25">
      <c r="A33">
        <v>147.19999999999999</v>
      </c>
    </row>
    <row r="34" spans="1:1" x14ac:dyDescent="0.25">
      <c r="A34">
        <v>126</v>
      </c>
    </row>
    <row r="35" spans="1:1" x14ac:dyDescent="0.25">
      <c r="A35">
        <v>103.8</v>
      </c>
    </row>
    <row r="36" spans="1:1" x14ac:dyDescent="0.25">
      <c r="A36">
        <v>139.6</v>
      </c>
    </row>
    <row r="37" spans="1:1" x14ac:dyDescent="0.25">
      <c r="A37">
        <v>42.3</v>
      </c>
    </row>
    <row r="38" spans="1:1" x14ac:dyDescent="0.25">
      <c r="A38">
        <v>89.5</v>
      </c>
    </row>
    <row r="39" spans="1:1" x14ac:dyDescent="0.25">
      <c r="A39">
        <v>93.7</v>
      </c>
    </row>
    <row r="40" spans="1:1" x14ac:dyDescent="0.25">
      <c r="A40">
        <v>104.4</v>
      </c>
    </row>
    <row r="41" spans="1:1" x14ac:dyDescent="0.25">
      <c r="A41">
        <v>155.19999999999999</v>
      </c>
    </row>
    <row r="42" spans="1:1" x14ac:dyDescent="0.25">
      <c r="A42">
        <v>97.3</v>
      </c>
    </row>
    <row r="43" spans="1:1" x14ac:dyDescent="0.25">
      <c r="A43">
        <v>91.5</v>
      </c>
    </row>
    <row r="44" spans="1:1" x14ac:dyDescent="0.25">
      <c r="A44">
        <v>96</v>
      </c>
    </row>
    <row r="45" spans="1:1" x14ac:dyDescent="0.25">
      <c r="A45">
        <v>97.1</v>
      </c>
    </row>
    <row r="46" spans="1:1" x14ac:dyDescent="0.25">
      <c r="A46">
        <v>112.4</v>
      </c>
    </row>
    <row r="47" spans="1:1" x14ac:dyDescent="0.25">
      <c r="A47">
        <v>103.6</v>
      </c>
    </row>
    <row r="48" spans="1:1" x14ac:dyDescent="0.25">
      <c r="A48">
        <v>93.6</v>
      </c>
    </row>
    <row r="49" spans="1:1" x14ac:dyDescent="0.25">
      <c r="A49">
        <v>105.8</v>
      </c>
    </row>
    <row r="50" spans="1:1" x14ac:dyDescent="0.25">
      <c r="A50">
        <v>109.5</v>
      </c>
    </row>
    <row r="51" spans="1:1" x14ac:dyDescent="0.25">
      <c r="A51">
        <v>97.9</v>
      </c>
    </row>
    <row r="52" spans="1:1" x14ac:dyDescent="0.25">
      <c r="A52">
        <v>119.8</v>
      </c>
    </row>
    <row r="53" spans="1:1" x14ac:dyDescent="0.25">
      <c r="A53">
        <v>133.30000000000001</v>
      </c>
    </row>
    <row r="54" spans="1:1" x14ac:dyDescent="0.25">
      <c r="A54">
        <v>116.6</v>
      </c>
    </row>
    <row r="55" spans="1:1" x14ac:dyDescent="0.25">
      <c r="A55">
        <v>98.7</v>
      </c>
    </row>
    <row r="56" spans="1:1" x14ac:dyDescent="0.25">
      <c r="A56">
        <v>110.6</v>
      </c>
    </row>
    <row r="57" spans="1:1" x14ac:dyDescent="0.25">
      <c r="A57">
        <v>125.2</v>
      </c>
    </row>
    <row r="58" spans="1:1" x14ac:dyDescent="0.25">
      <c r="A58">
        <v>162.4</v>
      </c>
    </row>
    <row r="59" spans="1:1" x14ac:dyDescent="0.25">
      <c r="A59">
        <v>93.7</v>
      </c>
    </row>
    <row r="60" spans="1:1" x14ac:dyDescent="0.25">
      <c r="A60">
        <v>115.3</v>
      </c>
    </row>
    <row r="61" spans="1:1" x14ac:dyDescent="0.25">
      <c r="A61">
        <v>96.7</v>
      </c>
    </row>
    <row r="62" spans="1:1" x14ac:dyDescent="0.25">
      <c r="A62">
        <v>89.3</v>
      </c>
    </row>
    <row r="63" spans="1:1" x14ac:dyDescent="0.25">
      <c r="A63">
        <v>84</v>
      </c>
    </row>
    <row r="64" spans="1:1" x14ac:dyDescent="0.25">
      <c r="A64">
        <v>81.7</v>
      </c>
    </row>
    <row r="65" spans="1:1" x14ac:dyDescent="0.25">
      <c r="A65">
        <v>110.3</v>
      </c>
    </row>
    <row r="66" spans="1:1" x14ac:dyDescent="0.25">
      <c r="A66">
        <v>108.2</v>
      </c>
    </row>
    <row r="67" spans="1:1" x14ac:dyDescent="0.25">
      <c r="A67">
        <v>77.400000000000006</v>
      </c>
    </row>
    <row r="68" spans="1:1" x14ac:dyDescent="0.25">
      <c r="A68">
        <v>89.8</v>
      </c>
    </row>
    <row r="69" spans="1:1" x14ac:dyDescent="0.25">
      <c r="A69">
        <v>83.2</v>
      </c>
    </row>
    <row r="70" spans="1:1" x14ac:dyDescent="0.25">
      <c r="A70">
        <v>74.099999999999994</v>
      </c>
    </row>
    <row r="71" spans="1:1" x14ac:dyDescent="0.25">
      <c r="A71">
        <v>109</v>
      </c>
    </row>
    <row r="72" spans="1:1" x14ac:dyDescent="0.25">
      <c r="A72">
        <v>98.1</v>
      </c>
    </row>
    <row r="73" spans="1:1" x14ac:dyDescent="0.25">
      <c r="A73">
        <v>77.099999999999994</v>
      </c>
    </row>
    <row r="74" spans="1:1" x14ac:dyDescent="0.25">
      <c r="A74">
        <v>102.8</v>
      </c>
    </row>
    <row r="75" spans="1:1" x14ac:dyDescent="0.25">
      <c r="A75">
        <v>91.5</v>
      </c>
    </row>
    <row r="76" spans="1:1" x14ac:dyDescent="0.25">
      <c r="A76">
        <v>102.2</v>
      </c>
    </row>
    <row r="77" spans="1:1" x14ac:dyDescent="0.25">
      <c r="A77">
        <v>218.2</v>
      </c>
    </row>
    <row r="78" spans="1:1" x14ac:dyDescent="0.25">
      <c r="A78">
        <v>100.6</v>
      </c>
    </row>
    <row r="79" spans="1:1" x14ac:dyDescent="0.25">
      <c r="A79">
        <v>99.8</v>
      </c>
    </row>
    <row r="80" spans="1:1" x14ac:dyDescent="0.25">
      <c r="A80">
        <v>104.8</v>
      </c>
    </row>
    <row r="81" spans="1:1" x14ac:dyDescent="0.25">
      <c r="A81">
        <v>50.1</v>
      </c>
    </row>
    <row r="82" spans="1:1" x14ac:dyDescent="0.25">
      <c r="A82">
        <v>91.3</v>
      </c>
    </row>
    <row r="83" spans="1:1" x14ac:dyDescent="0.25">
      <c r="A83">
        <v>118.2</v>
      </c>
    </row>
    <row r="84" spans="1:1" x14ac:dyDescent="0.25">
      <c r="A84">
        <v>60.1</v>
      </c>
    </row>
    <row r="85" spans="1:1" x14ac:dyDescent="0.25">
      <c r="A85">
        <v>89.2</v>
      </c>
    </row>
    <row r="86" spans="1:1" x14ac:dyDescent="0.25">
      <c r="A86">
        <v>97.9</v>
      </c>
    </row>
    <row r="87" spans="1:1" x14ac:dyDescent="0.25">
      <c r="A87">
        <v>89.2</v>
      </c>
    </row>
    <row r="88" spans="1:1" x14ac:dyDescent="0.25">
      <c r="A88">
        <v>108.8</v>
      </c>
    </row>
    <row r="89" spans="1:1" x14ac:dyDescent="0.25">
      <c r="A89">
        <v>124.8</v>
      </c>
    </row>
    <row r="90" spans="1:1" x14ac:dyDescent="0.25">
      <c r="A90">
        <v>58.8</v>
      </c>
    </row>
    <row r="91" spans="1:1" x14ac:dyDescent="0.25">
      <c r="A91">
        <v>101.5</v>
      </c>
    </row>
    <row r="92" spans="1:1" x14ac:dyDescent="0.25">
      <c r="A92">
        <v>166</v>
      </c>
    </row>
    <row r="93" spans="1:1" x14ac:dyDescent="0.25">
      <c r="A93">
        <v>48.1</v>
      </c>
    </row>
    <row r="94" spans="1:1" x14ac:dyDescent="0.25">
      <c r="A94">
        <v>45.3</v>
      </c>
    </row>
    <row r="95" spans="1:1" x14ac:dyDescent="0.25">
      <c r="A95">
        <v>50.5</v>
      </c>
    </row>
    <row r="96" spans="1:1" x14ac:dyDescent="0.25">
      <c r="A96">
        <v>105.4</v>
      </c>
    </row>
    <row r="97" spans="1:1" x14ac:dyDescent="0.25">
      <c r="A97">
        <v>123.7</v>
      </c>
    </row>
    <row r="98" spans="1:1" x14ac:dyDescent="0.25">
      <c r="A98">
        <v>131.4</v>
      </c>
    </row>
    <row r="99" spans="1:1" x14ac:dyDescent="0.25">
      <c r="A99">
        <v>128.1</v>
      </c>
    </row>
    <row r="100" spans="1:1" x14ac:dyDescent="0.25">
      <c r="A100">
        <v>138.4</v>
      </c>
    </row>
    <row r="101" spans="1:1" x14ac:dyDescent="0.25">
      <c r="A101">
        <v>83.9</v>
      </c>
    </row>
    <row r="102" spans="1:1" x14ac:dyDescent="0.25">
      <c r="A102">
        <v>65.400000000000006</v>
      </c>
    </row>
    <row r="103" spans="1:1" x14ac:dyDescent="0.25">
      <c r="A103">
        <v>165.5</v>
      </c>
    </row>
    <row r="104" spans="1:1" x14ac:dyDescent="0.25">
      <c r="A104">
        <v>172.2</v>
      </c>
    </row>
    <row r="105" spans="1:1" x14ac:dyDescent="0.25">
      <c r="A105">
        <v>152.30000000000001</v>
      </c>
    </row>
    <row r="106" spans="1:1" x14ac:dyDescent="0.25">
      <c r="A106">
        <v>85.5</v>
      </c>
    </row>
    <row r="107" spans="1:1" x14ac:dyDescent="0.25">
      <c r="A107">
        <v>48.8</v>
      </c>
    </row>
    <row r="108" spans="1:1" x14ac:dyDescent="0.25">
      <c r="A108">
        <v>44.5</v>
      </c>
    </row>
    <row r="109" spans="1:1" x14ac:dyDescent="0.25">
      <c r="A109">
        <v>58.4</v>
      </c>
    </row>
    <row r="110" spans="1:1" x14ac:dyDescent="0.25">
      <c r="A110">
        <v>44.4</v>
      </c>
    </row>
    <row r="111" spans="1:1" x14ac:dyDescent="0.25">
      <c r="A111">
        <v>83.5</v>
      </c>
    </row>
    <row r="112" spans="1:1" x14ac:dyDescent="0.25">
      <c r="A112">
        <v>99.3</v>
      </c>
    </row>
    <row r="113" spans="1:1" x14ac:dyDescent="0.25">
      <c r="A113">
        <v>62.5</v>
      </c>
    </row>
    <row r="114" spans="1:1" x14ac:dyDescent="0.25">
      <c r="A114">
        <v>65.099999999999994</v>
      </c>
    </row>
    <row r="115" spans="1:1" x14ac:dyDescent="0.25">
      <c r="A115">
        <v>41.3</v>
      </c>
    </row>
    <row r="116" spans="1:1" x14ac:dyDescent="0.25">
      <c r="A116">
        <v>43.4</v>
      </c>
    </row>
    <row r="117" spans="1:1" x14ac:dyDescent="0.25">
      <c r="A117">
        <v>109.8</v>
      </c>
    </row>
    <row r="118" spans="1:1" x14ac:dyDescent="0.25">
      <c r="A118">
        <v>51.2</v>
      </c>
    </row>
    <row r="119" spans="1:1" x14ac:dyDescent="0.25">
      <c r="A119">
        <v>106.8</v>
      </c>
    </row>
    <row r="120" spans="1:1" x14ac:dyDescent="0.25">
      <c r="A120">
        <v>93.4</v>
      </c>
    </row>
    <row r="121" spans="1:1" x14ac:dyDescent="0.25">
      <c r="A121">
        <v>93.5</v>
      </c>
    </row>
    <row r="122" spans="1:1" x14ac:dyDescent="0.25">
      <c r="A122">
        <v>55.6</v>
      </c>
    </row>
    <row r="123" spans="1:1" x14ac:dyDescent="0.25">
      <c r="A123">
        <v>43.2</v>
      </c>
    </row>
    <row r="124" spans="1:1" x14ac:dyDescent="0.25">
      <c r="A124">
        <v>39.6</v>
      </c>
    </row>
    <row r="125" spans="1:1" x14ac:dyDescent="0.25">
      <c r="A125">
        <v>103.7</v>
      </c>
    </row>
    <row r="126" spans="1:1" x14ac:dyDescent="0.25">
      <c r="A126">
        <v>85.9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workbookViewId="0">
      <selection activeCell="F1" sqref="F1:F1048576"/>
    </sheetView>
  </sheetViews>
  <sheetFormatPr defaultRowHeight="15" x14ac:dyDescent="0.25"/>
  <cols>
    <col min="1" max="2" width="6" bestFit="1" customWidth="1"/>
    <col min="3" max="3" width="4.7109375" bestFit="1" customWidth="1"/>
    <col min="4" max="4" width="5" bestFit="1" customWidth="1"/>
    <col min="5" max="5" width="10" bestFit="1" customWidth="1"/>
    <col min="6" max="6" width="12.5703125" customWidth="1"/>
    <col min="7" max="7" width="10" bestFit="1" customWidth="1"/>
  </cols>
  <sheetData>
    <row r="1" spans="1:7" x14ac:dyDescent="0.25">
      <c r="A1" t="s">
        <v>6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29</v>
      </c>
    </row>
    <row r="2" spans="1:7" x14ac:dyDescent="0.25">
      <c r="A2">
        <v>83</v>
      </c>
      <c r="B2">
        <f>MAX(A2:A126)</f>
        <v>218.2</v>
      </c>
      <c r="C2">
        <f>MIN(A2:A126)</f>
        <v>36</v>
      </c>
      <c r="D2">
        <v>10</v>
      </c>
      <c r="E2">
        <f>(B2-C2)/D2</f>
        <v>18.22</v>
      </c>
      <c r="F2" t="s">
        <v>31</v>
      </c>
      <c r="G2">
        <f>COUNTIFS(A2:A126,"&gt;=36",A2:A126,"&lt;54.22")</f>
        <v>20</v>
      </c>
    </row>
    <row r="3" spans="1:7" x14ac:dyDescent="0.25">
      <c r="A3">
        <v>118.7</v>
      </c>
      <c r="F3" t="s">
        <v>32</v>
      </c>
      <c r="G3">
        <f>COUNTIFS(A2:A126,"&gt;=54.22",A2:A126,"&lt;72.44")</f>
        <v>9</v>
      </c>
    </row>
    <row r="4" spans="1:7" x14ac:dyDescent="0.25">
      <c r="A4">
        <v>82.3</v>
      </c>
      <c r="F4" t="s">
        <v>33</v>
      </c>
      <c r="G4">
        <f>COUNTIFS(A2:A126,"&gt;=72.44",A2:A126,"&lt;90.66")</f>
        <v>22</v>
      </c>
    </row>
    <row r="5" spans="1:7" x14ac:dyDescent="0.25">
      <c r="A5">
        <v>91.6</v>
      </c>
      <c r="F5" t="s">
        <v>34</v>
      </c>
      <c r="G5">
        <f>COUNTIFS(A2:A126,"&gt;=90.66",A2:A126,"&lt;108.88")</f>
        <v>40</v>
      </c>
    </row>
    <row r="6" spans="1:7" x14ac:dyDescent="0.25">
      <c r="A6">
        <v>75.2</v>
      </c>
      <c r="F6" t="s">
        <v>35</v>
      </c>
      <c r="G6">
        <f>COUNTIFS(A2:A126,"&gt;=108.88",A2:A126,"&lt;127.1")</f>
        <v>19</v>
      </c>
    </row>
    <row r="7" spans="1:7" x14ac:dyDescent="0.25">
      <c r="A7">
        <v>50.8</v>
      </c>
      <c r="F7" t="s">
        <v>36</v>
      </c>
      <c r="G7">
        <f>COUNTIFS(A2:A126,"&gt;=127.1",A2:A126,"&lt;145.32")</f>
        <v>6</v>
      </c>
    </row>
    <row r="8" spans="1:7" x14ac:dyDescent="0.25">
      <c r="A8">
        <v>86.3</v>
      </c>
      <c r="F8" t="s">
        <v>37</v>
      </c>
      <c r="G8">
        <f>COUNTIFS(A2:A126,"&gt;=145.32",A2:A126,"&lt;163.54")</f>
        <v>5</v>
      </c>
    </row>
    <row r="9" spans="1:7" x14ac:dyDescent="0.25">
      <c r="A9">
        <v>96.2</v>
      </c>
      <c r="F9" t="s">
        <v>38</v>
      </c>
      <c r="G9">
        <f>COUNTIFS(A2:A126,"&gt;=163.54",A2:A126,"&lt;181.76")</f>
        <v>3</v>
      </c>
    </row>
    <row r="10" spans="1:7" x14ac:dyDescent="0.25">
      <c r="A10">
        <v>105.1</v>
      </c>
      <c r="F10" t="s">
        <v>39</v>
      </c>
      <c r="G10">
        <f>COUNTIFS(A2:A126,"&gt;=181.76",A2:A126,"&lt;199.98")</f>
        <v>0</v>
      </c>
    </row>
    <row r="11" spans="1:7" x14ac:dyDescent="0.25">
      <c r="A11">
        <v>94.9</v>
      </c>
      <c r="F11" t="s">
        <v>40</v>
      </c>
      <c r="G11">
        <f>COUNTIFS(A2:A126,"&gt;=199.98",A2:A126,"&lt;=218.2")</f>
        <v>1</v>
      </c>
    </row>
    <row r="12" spans="1:7" x14ac:dyDescent="0.25">
      <c r="A12">
        <v>79.900000000000006</v>
      </c>
    </row>
    <row r="13" spans="1:7" x14ac:dyDescent="0.25">
      <c r="A13">
        <v>109.7</v>
      </c>
    </row>
    <row r="14" spans="1:7" x14ac:dyDescent="0.25">
      <c r="A14">
        <v>107.9</v>
      </c>
    </row>
    <row r="15" spans="1:7" x14ac:dyDescent="0.25">
      <c r="A15">
        <v>115.4</v>
      </c>
    </row>
    <row r="16" spans="1:7" x14ac:dyDescent="0.25">
      <c r="A16">
        <v>40.6</v>
      </c>
    </row>
    <row r="17" spans="1:1" x14ac:dyDescent="0.25">
      <c r="A17">
        <v>88.3</v>
      </c>
    </row>
    <row r="18" spans="1:1" x14ac:dyDescent="0.25">
      <c r="A18">
        <v>106.3</v>
      </c>
    </row>
    <row r="19" spans="1:1" x14ac:dyDescent="0.25">
      <c r="A19">
        <v>36</v>
      </c>
    </row>
    <row r="20" spans="1:1" x14ac:dyDescent="0.25">
      <c r="A20">
        <v>52.5</v>
      </c>
    </row>
    <row r="21" spans="1:1" x14ac:dyDescent="0.25">
      <c r="A21">
        <v>53.1</v>
      </c>
    </row>
    <row r="22" spans="1:1" x14ac:dyDescent="0.25">
      <c r="A22">
        <v>65.099999999999994</v>
      </c>
    </row>
    <row r="23" spans="1:1" x14ac:dyDescent="0.25">
      <c r="A23">
        <v>38.299999999999997</v>
      </c>
    </row>
    <row r="24" spans="1:1" x14ac:dyDescent="0.25">
      <c r="A24">
        <v>128.1</v>
      </c>
    </row>
    <row r="25" spans="1:1" x14ac:dyDescent="0.25">
      <c r="A25">
        <v>95.4</v>
      </c>
    </row>
    <row r="26" spans="1:1" x14ac:dyDescent="0.25">
      <c r="A26">
        <v>53.1</v>
      </c>
    </row>
    <row r="27" spans="1:1" x14ac:dyDescent="0.25">
      <c r="A27">
        <v>121.3</v>
      </c>
    </row>
    <row r="28" spans="1:1" x14ac:dyDescent="0.25">
      <c r="A28">
        <v>67.3</v>
      </c>
    </row>
    <row r="29" spans="1:1" x14ac:dyDescent="0.25">
      <c r="A29">
        <v>152.30000000000001</v>
      </c>
    </row>
    <row r="30" spans="1:1" x14ac:dyDescent="0.25">
      <c r="A30">
        <v>103</v>
      </c>
    </row>
    <row r="31" spans="1:1" x14ac:dyDescent="0.25">
      <c r="A31">
        <v>115.8</v>
      </c>
    </row>
    <row r="32" spans="1:1" x14ac:dyDescent="0.25">
      <c r="A32">
        <v>82.5</v>
      </c>
    </row>
    <row r="33" spans="1:1" x14ac:dyDescent="0.25">
      <c r="A33">
        <v>147.19999999999999</v>
      </c>
    </row>
    <row r="34" spans="1:1" x14ac:dyDescent="0.25">
      <c r="A34">
        <v>126</v>
      </c>
    </row>
    <row r="35" spans="1:1" x14ac:dyDescent="0.25">
      <c r="A35">
        <v>103.8</v>
      </c>
    </row>
    <row r="36" spans="1:1" x14ac:dyDescent="0.25">
      <c r="A36">
        <v>139.6</v>
      </c>
    </row>
    <row r="37" spans="1:1" x14ac:dyDescent="0.25">
      <c r="A37">
        <v>42.3</v>
      </c>
    </row>
    <row r="38" spans="1:1" x14ac:dyDescent="0.25">
      <c r="A38">
        <v>89.5</v>
      </c>
    </row>
    <row r="39" spans="1:1" x14ac:dyDescent="0.25">
      <c r="A39">
        <v>93.7</v>
      </c>
    </row>
    <row r="40" spans="1:1" x14ac:dyDescent="0.25">
      <c r="A40">
        <v>104.4</v>
      </c>
    </row>
    <row r="41" spans="1:1" x14ac:dyDescent="0.25">
      <c r="A41">
        <v>155.19999999999999</v>
      </c>
    </row>
    <row r="42" spans="1:1" x14ac:dyDescent="0.25">
      <c r="A42">
        <v>97.3</v>
      </c>
    </row>
    <row r="43" spans="1:1" x14ac:dyDescent="0.25">
      <c r="A43">
        <v>91.5</v>
      </c>
    </row>
    <row r="44" spans="1:1" x14ac:dyDescent="0.25">
      <c r="A44">
        <v>96</v>
      </c>
    </row>
    <row r="45" spans="1:1" x14ac:dyDescent="0.25">
      <c r="A45">
        <v>97.1</v>
      </c>
    </row>
    <row r="46" spans="1:1" x14ac:dyDescent="0.25">
      <c r="A46">
        <v>112.4</v>
      </c>
    </row>
    <row r="47" spans="1:1" x14ac:dyDescent="0.25">
      <c r="A47">
        <v>103.6</v>
      </c>
    </row>
    <row r="48" spans="1:1" x14ac:dyDescent="0.25">
      <c r="A48">
        <v>93.6</v>
      </c>
    </row>
    <row r="49" spans="1:1" x14ac:dyDescent="0.25">
      <c r="A49">
        <v>105.8</v>
      </c>
    </row>
    <row r="50" spans="1:1" x14ac:dyDescent="0.25">
      <c r="A50">
        <v>109.5</v>
      </c>
    </row>
    <row r="51" spans="1:1" x14ac:dyDescent="0.25">
      <c r="A51">
        <v>97.9</v>
      </c>
    </row>
    <row r="52" spans="1:1" x14ac:dyDescent="0.25">
      <c r="A52">
        <v>119.8</v>
      </c>
    </row>
    <row r="53" spans="1:1" x14ac:dyDescent="0.25">
      <c r="A53">
        <v>133.30000000000001</v>
      </c>
    </row>
    <row r="54" spans="1:1" x14ac:dyDescent="0.25">
      <c r="A54">
        <v>116.6</v>
      </c>
    </row>
    <row r="55" spans="1:1" x14ac:dyDescent="0.25">
      <c r="A55">
        <v>98.7</v>
      </c>
    </row>
    <row r="56" spans="1:1" x14ac:dyDescent="0.25">
      <c r="A56">
        <v>110.6</v>
      </c>
    </row>
    <row r="57" spans="1:1" x14ac:dyDescent="0.25">
      <c r="A57">
        <v>125.2</v>
      </c>
    </row>
    <row r="58" spans="1:1" x14ac:dyDescent="0.25">
      <c r="A58">
        <v>162.4</v>
      </c>
    </row>
    <row r="59" spans="1:1" x14ac:dyDescent="0.25">
      <c r="A59">
        <v>93.7</v>
      </c>
    </row>
    <row r="60" spans="1:1" x14ac:dyDescent="0.25">
      <c r="A60">
        <v>115.3</v>
      </c>
    </row>
    <row r="61" spans="1:1" x14ac:dyDescent="0.25">
      <c r="A61">
        <v>96.7</v>
      </c>
    </row>
    <row r="62" spans="1:1" x14ac:dyDescent="0.25">
      <c r="A62">
        <v>89.3</v>
      </c>
    </row>
    <row r="63" spans="1:1" x14ac:dyDescent="0.25">
      <c r="A63">
        <v>84</v>
      </c>
    </row>
    <row r="64" spans="1:1" x14ac:dyDescent="0.25">
      <c r="A64">
        <v>81.7</v>
      </c>
    </row>
    <row r="65" spans="1:1" x14ac:dyDescent="0.25">
      <c r="A65">
        <v>110.3</v>
      </c>
    </row>
    <row r="66" spans="1:1" x14ac:dyDescent="0.25">
      <c r="A66">
        <v>108.2</v>
      </c>
    </row>
    <row r="67" spans="1:1" x14ac:dyDescent="0.25">
      <c r="A67">
        <v>77.400000000000006</v>
      </c>
    </row>
    <row r="68" spans="1:1" x14ac:dyDescent="0.25">
      <c r="A68">
        <v>89.8</v>
      </c>
    </row>
    <row r="69" spans="1:1" x14ac:dyDescent="0.25">
      <c r="A69">
        <v>83.2</v>
      </c>
    </row>
    <row r="70" spans="1:1" x14ac:dyDescent="0.25">
      <c r="A70">
        <v>74.099999999999994</v>
      </c>
    </row>
    <row r="71" spans="1:1" x14ac:dyDescent="0.25">
      <c r="A71">
        <v>109</v>
      </c>
    </row>
    <row r="72" spans="1:1" x14ac:dyDescent="0.25">
      <c r="A72">
        <v>98.1</v>
      </c>
    </row>
    <row r="73" spans="1:1" x14ac:dyDescent="0.25">
      <c r="A73">
        <v>77.099999999999994</v>
      </c>
    </row>
    <row r="74" spans="1:1" x14ac:dyDescent="0.25">
      <c r="A74">
        <v>102.8</v>
      </c>
    </row>
    <row r="75" spans="1:1" x14ac:dyDescent="0.25">
      <c r="A75">
        <v>91.5</v>
      </c>
    </row>
    <row r="76" spans="1:1" x14ac:dyDescent="0.25">
      <c r="A76">
        <v>102.2</v>
      </c>
    </row>
    <row r="77" spans="1:1" x14ac:dyDescent="0.25">
      <c r="A77">
        <v>218.2</v>
      </c>
    </row>
    <row r="78" spans="1:1" x14ac:dyDescent="0.25">
      <c r="A78">
        <v>100.6</v>
      </c>
    </row>
    <row r="79" spans="1:1" x14ac:dyDescent="0.25">
      <c r="A79">
        <v>99.8</v>
      </c>
    </row>
    <row r="80" spans="1:1" x14ac:dyDescent="0.25">
      <c r="A80">
        <v>104.8</v>
      </c>
    </row>
    <row r="81" spans="1:1" x14ac:dyDescent="0.25">
      <c r="A81">
        <v>50.1</v>
      </c>
    </row>
    <row r="82" spans="1:1" x14ac:dyDescent="0.25">
      <c r="A82">
        <v>91.3</v>
      </c>
    </row>
    <row r="83" spans="1:1" x14ac:dyDescent="0.25">
      <c r="A83">
        <v>118.2</v>
      </c>
    </row>
    <row r="84" spans="1:1" x14ac:dyDescent="0.25">
      <c r="A84">
        <v>60.1</v>
      </c>
    </row>
    <row r="85" spans="1:1" x14ac:dyDescent="0.25">
      <c r="A85">
        <v>89.2</v>
      </c>
    </row>
    <row r="86" spans="1:1" x14ac:dyDescent="0.25">
      <c r="A86">
        <v>97.9</v>
      </c>
    </row>
    <row r="87" spans="1:1" x14ac:dyDescent="0.25">
      <c r="A87">
        <v>89.2</v>
      </c>
    </row>
    <row r="88" spans="1:1" x14ac:dyDescent="0.25">
      <c r="A88">
        <v>108.8</v>
      </c>
    </row>
    <row r="89" spans="1:1" x14ac:dyDescent="0.25">
      <c r="A89">
        <v>124.8</v>
      </c>
    </row>
    <row r="90" spans="1:1" x14ac:dyDescent="0.25">
      <c r="A90">
        <v>58.8</v>
      </c>
    </row>
    <row r="91" spans="1:1" x14ac:dyDescent="0.25">
      <c r="A91">
        <v>101.5</v>
      </c>
    </row>
    <row r="92" spans="1:1" x14ac:dyDescent="0.25">
      <c r="A92">
        <v>166</v>
      </c>
    </row>
    <row r="93" spans="1:1" x14ac:dyDescent="0.25">
      <c r="A93">
        <v>48.1</v>
      </c>
    </row>
    <row r="94" spans="1:1" x14ac:dyDescent="0.25">
      <c r="A94">
        <v>45.3</v>
      </c>
    </row>
    <row r="95" spans="1:1" x14ac:dyDescent="0.25">
      <c r="A95">
        <v>50.5</v>
      </c>
    </row>
    <row r="96" spans="1:1" x14ac:dyDescent="0.25">
      <c r="A96">
        <v>105.4</v>
      </c>
    </row>
    <row r="97" spans="1:1" x14ac:dyDescent="0.25">
      <c r="A97">
        <v>123.7</v>
      </c>
    </row>
    <row r="98" spans="1:1" x14ac:dyDescent="0.25">
      <c r="A98">
        <v>131.4</v>
      </c>
    </row>
    <row r="99" spans="1:1" x14ac:dyDescent="0.25">
      <c r="A99">
        <v>128.1</v>
      </c>
    </row>
    <row r="100" spans="1:1" x14ac:dyDescent="0.25">
      <c r="A100">
        <v>138.4</v>
      </c>
    </row>
    <row r="101" spans="1:1" x14ac:dyDescent="0.25">
      <c r="A101">
        <v>83.9</v>
      </c>
    </row>
    <row r="102" spans="1:1" x14ac:dyDescent="0.25">
      <c r="A102">
        <v>65.400000000000006</v>
      </c>
    </row>
    <row r="103" spans="1:1" x14ac:dyDescent="0.25">
      <c r="A103">
        <v>165.5</v>
      </c>
    </row>
    <row r="104" spans="1:1" x14ac:dyDescent="0.25">
      <c r="A104">
        <v>172.2</v>
      </c>
    </row>
    <row r="105" spans="1:1" x14ac:dyDescent="0.25">
      <c r="A105">
        <v>152.30000000000001</v>
      </c>
    </row>
    <row r="106" spans="1:1" x14ac:dyDescent="0.25">
      <c r="A106">
        <v>85.5</v>
      </c>
    </row>
    <row r="107" spans="1:1" x14ac:dyDescent="0.25">
      <c r="A107">
        <v>48.8</v>
      </c>
    </row>
    <row r="108" spans="1:1" x14ac:dyDescent="0.25">
      <c r="A108">
        <v>44.5</v>
      </c>
    </row>
    <row r="109" spans="1:1" x14ac:dyDescent="0.25">
      <c r="A109">
        <v>58.4</v>
      </c>
    </row>
    <row r="110" spans="1:1" x14ac:dyDescent="0.25">
      <c r="A110">
        <v>44.4</v>
      </c>
    </row>
    <row r="111" spans="1:1" x14ac:dyDescent="0.25">
      <c r="A111">
        <v>83.5</v>
      </c>
    </row>
    <row r="112" spans="1:1" x14ac:dyDescent="0.25">
      <c r="A112">
        <v>99.3</v>
      </c>
    </row>
    <row r="113" spans="1:1" x14ac:dyDescent="0.25">
      <c r="A113">
        <v>62.5</v>
      </c>
    </row>
    <row r="114" spans="1:1" x14ac:dyDescent="0.25">
      <c r="A114">
        <v>65.099999999999994</v>
      </c>
    </row>
    <row r="115" spans="1:1" x14ac:dyDescent="0.25">
      <c r="A115">
        <v>41.3</v>
      </c>
    </row>
    <row r="116" spans="1:1" x14ac:dyDescent="0.25">
      <c r="A116">
        <v>43.4</v>
      </c>
    </row>
    <row r="117" spans="1:1" x14ac:dyDescent="0.25">
      <c r="A117">
        <v>109.8</v>
      </c>
    </row>
    <row r="118" spans="1:1" x14ac:dyDescent="0.25">
      <c r="A118">
        <v>51.2</v>
      </c>
    </row>
    <row r="119" spans="1:1" x14ac:dyDescent="0.25">
      <c r="A119">
        <v>106.8</v>
      </c>
    </row>
    <row r="120" spans="1:1" x14ac:dyDescent="0.25">
      <c r="A120">
        <v>93.4</v>
      </c>
    </row>
    <row r="121" spans="1:1" x14ac:dyDescent="0.25">
      <c r="A121">
        <v>93.5</v>
      </c>
    </row>
    <row r="122" spans="1:1" x14ac:dyDescent="0.25">
      <c r="A122">
        <v>55.6</v>
      </c>
    </row>
    <row r="123" spans="1:1" x14ac:dyDescent="0.25">
      <c r="A123">
        <v>43.2</v>
      </c>
    </row>
    <row r="124" spans="1:1" x14ac:dyDescent="0.25">
      <c r="A124">
        <v>39.6</v>
      </c>
    </row>
    <row r="125" spans="1:1" x14ac:dyDescent="0.25">
      <c r="A125">
        <v>103.7</v>
      </c>
    </row>
    <row r="126" spans="1:1" x14ac:dyDescent="0.25">
      <c r="A126">
        <v>85.9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hist-bin1</vt:lpstr>
      <vt:lpstr>hist-bin2</vt:lpstr>
      <vt:lpstr>hist-bin3</vt:lpstr>
      <vt:lpstr>hist_bin_true_10</vt:lpstr>
      <vt:lpstr>CROATRAD</vt:lpstr>
      <vt:lpstr>bin_calc</vt:lpstr>
      <vt:lpstr>bin_calc_true_width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 Billing</dc:creator>
  <cp:lastModifiedBy>NOC Billing</cp:lastModifiedBy>
  <dcterms:created xsi:type="dcterms:W3CDTF">2025-02-17T06:43:39Z</dcterms:created>
  <dcterms:modified xsi:type="dcterms:W3CDTF">2025-02-17T11:01:41Z</dcterms:modified>
</cp:coreProperties>
</file>